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uZhiQiaoShi\Support\basic_param\"/>
    </mc:Choice>
  </mc:AlternateContent>
  <xr:revisionPtr revIDLastSave="0" documentId="13_ncr:1_{E9C51587-9F02-4C03-894D-911FE30CACE4}" xr6:coauthVersionLast="47" xr6:coauthVersionMax="47" xr10:uidLastSave="{00000000-0000-0000-0000-000000000000}"/>
  <bookViews>
    <workbookView xWindow="38280" yWindow="-120" windowWidth="38640" windowHeight="21120" activeTab="12" xr2:uid="{3BBF5E7B-D5B4-46F2-B61B-A83809BF834F}"/>
  </bookViews>
  <sheets>
    <sheet name="材质" sheetId="15" r:id="rId1"/>
    <sheet name="I" sheetId="1" r:id="rId2"/>
    <sheet name="2I" sheetId="7" r:id="rId3"/>
    <sheet name="HM" sheetId="2" r:id="rId4"/>
    <sheet name="2HM" sheetId="8" r:id="rId5"/>
    <sheet name="HN" sheetId="3" r:id="rId6"/>
    <sheet name="2HN" sheetId="9" r:id="rId7"/>
    <sheet name="HW" sheetId="4" r:id="rId8"/>
    <sheet name="2HW" sheetId="10" r:id="rId9"/>
    <sheet name="C" sheetId="5" r:id="rId10"/>
    <sheet name="∠" sheetId="12" r:id="rId11"/>
    <sheet name="2C" sheetId="11" r:id="rId12"/>
    <sheet name="O" sheetId="6" r:id="rId13"/>
    <sheet name="围檩" sheetId="13" r:id="rId14"/>
    <sheet name="内支撑" sheetId="14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6" l="1"/>
  <c r="D7" i="6"/>
  <c r="C7" i="6"/>
  <c r="E7" i="6" s="1"/>
  <c r="B7" i="6"/>
  <c r="F4" i="6"/>
  <c r="D4" i="6"/>
  <c r="C4" i="6"/>
  <c r="E4" i="6" s="1"/>
  <c r="B4" i="6"/>
  <c r="F9" i="6"/>
  <c r="D9" i="6"/>
  <c r="C9" i="6"/>
  <c r="B9" i="6"/>
  <c r="Z4" i="15"/>
  <c r="Z5" i="15"/>
  <c r="Z6" i="15"/>
  <c r="Z7" i="15"/>
  <c r="Z8" i="15"/>
  <c r="Z9" i="15"/>
  <c r="Z10" i="15"/>
  <c r="Z11" i="15"/>
  <c r="Z12" i="15"/>
  <c r="Z13" i="15"/>
  <c r="Z14" i="15"/>
  <c r="Z15" i="15"/>
  <c r="Z16" i="15"/>
  <c r="Z3" i="15"/>
  <c r="D3" i="6"/>
  <c r="D5" i="6"/>
  <c r="D6" i="6"/>
  <c r="D8" i="6"/>
  <c r="D10" i="6"/>
  <c r="D11" i="6"/>
  <c r="D2" i="6"/>
  <c r="C2" i="6"/>
  <c r="E2" i="6" s="1"/>
  <c r="C3" i="6"/>
  <c r="C5" i="6"/>
  <c r="C6" i="6"/>
  <c r="C8" i="6"/>
  <c r="C10" i="6"/>
  <c r="C11" i="6"/>
  <c r="F3" i="6"/>
  <c r="F5" i="6"/>
  <c r="F6" i="6"/>
  <c r="F8" i="6"/>
  <c r="F10" i="6"/>
  <c r="F11" i="6"/>
  <c r="F2" i="6"/>
  <c r="B3" i="6"/>
  <c r="B5" i="6"/>
  <c r="B6" i="6"/>
  <c r="B8" i="6"/>
  <c r="B10" i="6"/>
  <c r="B11" i="6"/>
  <c r="B2" i="6"/>
  <c r="I8" i="11"/>
  <c r="I10" i="11"/>
  <c r="I11" i="11"/>
  <c r="I12" i="11"/>
  <c r="I13" i="11"/>
  <c r="I15" i="11"/>
  <c r="I24" i="11"/>
  <c r="I26" i="11"/>
  <c r="I27" i="11"/>
  <c r="I28" i="11"/>
  <c r="I29" i="11"/>
  <c r="I30" i="11"/>
  <c r="I31" i="11"/>
  <c r="G3" i="11"/>
  <c r="E5" i="11"/>
  <c r="F5" i="11"/>
  <c r="E6" i="11"/>
  <c r="F6" i="11"/>
  <c r="F8" i="11"/>
  <c r="G8" i="11"/>
  <c r="H8" i="11"/>
  <c r="G9" i="11"/>
  <c r="H9" i="11"/>
  <c r="E10" i="11"/>
  <c r="F10" i="11"/>
  <c r="E12" i="11"/>
  <c r="G12" i="11"/>
  <c r="H12" i="11"/>
  <c r="E13" i="11"/>
  <c r="F13" i="11"/>
  <c r="G13" i="11"/>
  <c r="H13" i="11"/>
  <c r="F14" i="11"/>
  <c r="E17" i="11"/>
  <c r="G17" i="11"/>
  <c r="H17" i="11"/>
  <c r="E18" i="11"/>
  <c r="F18" i="11"/>
  <c r="G19" i="11"/>
  <c r="E21" i="11"/>
  <c r="F21" i="11"/>
  <c r="E22" i="11"/>
  <c r="F22" i="11"/>
  <c r="G24" i="11"/>
  <c r="H24" i="11"/>
  <c r="H25" i="11"/>
  <c r="E26" i="11"/>
  <c r="F26" i="11"/>
  <c r="E29" i="11"/>
  <c r="F29" i="11"/>
  <c r="G29" i="11"/>
  <c r="H29" i="11"/>
  <c r="E30" i="11"/>
  <c r="F30" i="11"/>
  <c r="G32" i="11"/>
  <c r="G2" i="11"/>
  <c r="E2" i="11"/>
  <c r="D3" i="11"/>
  <c r="F3" i="11" s="1"/>
  <c r="D4" i="11"/>
  <c r="F4" i="11" s="1"/>
  <c r="D5" i="11"/>
  <c r="D6" i="11"/>
  <c r="H6" i="11" s="1"/>
  <c r="D7" i="11"/>
  <c r="F7" i="11" s="1"/>
  <c r="D8" i="11"/>
  <c r="D9" i="11"/>
  <c r="D10" i="11"/>
  <c r="H10" i="11" s="1"/>
  <c r="D11" i="11"/>
  <c r="F11" i="11" s="1"/>
  <c r="D12" i="11"/>
  <c r="F12" i="11" s="1"/>
  <c r="D13" i="11"/>
  <c r="D14" i="11"/>
  <c r="H14" i="11" s="1"/>
  <c r="D15" i="11"/>
  <c r="F15" i="11" s="1"/>
  <c r="D16" i="11"/>
  <c r="F16" i="11" s="1"/>
  <c r="D17" i="11"/>
  <c r="F17" i="11" s="1"/>
  <c r="D18" i="11"/>
  <c r="H18" i="11" s="1"/>
  <c r="D19" i="11"/>
  <c r="F19" i="11" s="1"/>
  <c r="D20" i="11"/>
  <c r="F20" i="11" s="1"/>
  <c r="D21" i="11"/>
  <c r="D22" i="11"/>
  <c r="H22" i="11" s="1"/>
  <c r="D23" i="11"/>
  <c r="F23" i="11" s="1"/>
  <c r="D24" i="11"/>
  <c r="D25" i="11"/>
  <c r="D26" i="11"/>
  <c r="H26" i="11" s="1"/>
  <c r="D27" i="11"/>
  <c r="F27" i="11" s="1"/>
  <c r="D28" i="11"/>
  <c r="F28" i="11" s="1"/>
  <c r="D29" i="11"/>
  <c r="D30" i="11"/>
  <c r="H30" i="11" s="1"/>
  <c r="D31" i="11"/>
  <c r="F31" i="11" s="1"/>
  <c r="D32" i="11"/>
  <c r="F32" i="11" s="1"/>
  <c r="D2" i="11"/>
  <c r="F2" i="11" s="1"/>
  <c r="A31" i="11"/>
  <c r="B31" i="11"/>
  <c r="C31" i="11"/>
  <c r="E31" i="11" s="1"/>
  <c r="J31" i="11"/>
  <c r="K31" i="11"/>
  <c r="L31" i="11"/>
  <c r="M31" i="11"/>
  <c r="A32" i="11"/>
  <c r="B32" i="11"/>
  <c r="I32" i="11" s="1"/>
  <c r="C32" i="11"/>
  <c r="E32" i="11" s="1"/>
  <c r="J32" i="11"/>
  <c r="K32" i="11"/>
  <c r="L32" i="11"/>
  <c r="M32" i="11"/>
  <c r="A28" i="11"/>
  <c r="B28" i="11"/>
  <c r="H28" i="11" s="1"/>
  <c r="C28" i="11"/>
  <c r="G28" i="11" s="1"/>
  <c r="J28" i="11"/>
  <c r="K28" i="11"/>
  <c r="L28" i="11"/>
  <c r="M28" i="11"/>
  <c r="A29" i="11"/>
  <c r="B29" i="11"/>
  <c r="C29" i="11"/>
  <c r="J29" i="11"/>
  <c r="K29" i="11"/>
  <c r="L29" i="11"/>
  <c r="M29" i="11"/>
  <c r="A30" i="11"/>
  <c r="B30" i="11"/>
  <c r="C30" i="11"/>
  <c r="G30" i="11" s="1"/>
  <c r="J30" i="11"/>
  <c r="K30" i="11"/>
  <c r="L30" i="11"/>
  <c r="M30" i="11"/>
  <c r="A3" i="11"/>
  <c r="B3" i="11"/>
  <c r="I3" i="11" s="1"/>
  <c r="C3" i="11"/>
  <c r="E3" i="11" s="1"/>
  <c r="J3" i="11"/>
  <c r="K3" i="11"/>
  <c r="L3" i="11"/>
  <c r="M3" i="11"/>
  <c r="A4" i="11"/>
  <c r="B4" i="11"/>
  <c r="I4" i="11" s="1"/>
  <c r="C4" i="11"/>
  <c r="G4" i="11" s="1"/>
  <c r="J4" i="11"/>
  <c r="K4" i="11"/>
  <c r="L4" i="11"/>
  <c r="M4" i="11"/>
  <c r="A5" i="11"/>
  <c r="B5" i="11"/>
  <c r="G5" i="11" s="1"/>
  <c r="C5" i="11"/>
  <c r="J5" i="11"/>
  <c r="K5" i="11"/>
  <c r="L5" i="11"/>
  <c r="M5" i="11"/>
  <c r="A6" i="11"/>
  <c r="B6" i="11"/>
  <c r="I6" i="11" s="1"/>
  <c r="C6" i="11"/>
  <c r="G6" i="11" s="1"/>
  <c r="J6" i="11"/>
  <c r="K6" i="11"/>
  <c r="L6" i="11"/>
  <c r="M6" i="11"/>
  <c r="A7" i="11"/>
  <c r="B7" i="11"/>
  <c r="I7" i="11" s="1"/>
  <c r="C7" i="11"/>
  <c r="G7" i="11" s="1"/>
  <c r="J7" i="11"/>
  <c r="K7" i="11"/>
  <c r="L7" i="11"/>
  <c r="M7" i="11"/>
  <c r="A8" i="11"/>
  <c r="B8" i="11"/>
  <c r="C8" i="11"/>
  <c r="J8" i="11"/>
  <c r="E8" i="11" s="1"/>
  <c r="K8" i="11"/>
  <c r="L8" i="11"/>
  <c r="M8" i="11"/>
  <c r="A9" i="11"/>
  <c r="B9" i="11"/>
  <c r="I9" i="11" s="1"/>
  <c r="C9" i="11"/>
  <c r="E9" i="11" s="1"/>
  <c r="J9" i="11"/>
  <c r="K9" i="11"/>
  <c r="F9" i="11" s="1"/>
  <c r="L9" i="11"/>
  <c r="M9" i="11"/>
  <c r="A10" i="11"/>
  <c r="B10" i="11"/>
  <c r="C10" i="11"/>
  <c r="G10" i="11" s="1"/>
  <c r="J10" i="11"/>
  <c r="K10" i="11"/>
  <c r="L10" i="11"/>
  <c r="M10" i="11"/>
  <c r="A11" i="11"/>
  <c r="B11" i="11"/>
  <c r="C11" i="11"/>
  <c r="E11" i="11" s="1"/>
  <c r="J11" i="11"/>
  <c r="K11" i="11"/>
  <c r="L11" i="11"/>
  <c r="M11" i="11"/>
  <c r="A12" i="11"/>
  <c r="B12" i="11"/>
  <c r="C12" i="11"/>
  <c r="J12" i="11"/>
  <c r="K12" i="11"/>
  <c r="L12" i="11"/>
  <c r="M12" i="11"/>
  <c r="A13" i="11"/>
  <c r="B13" i="11"/>
  <c r="C13" i="11"/>
  <c r="J13" i="11"/>
  <c r="K13" i="11"/>
  <c r="L13" i="11"/>
  <c r="M13" i="11"/>
  <c r="A14" i="11"/>
  <c r="B14" i="11"/>
  <c r="I14" i="11" s="1"/>
  <c r="C14" i="11"/>
  <c r="G14" i="11" s="1"/>
  <c r="J14" i="11"/>
  <c r="K14" i="11"/>
  <c r="L14" i="11"/>
  <c r="M14" i="11"/>
  <c r="A15" i="11"/>
  <c r="B15" i="11"/>
  <c r="C15" i="11"/>
  <c r="E15" i="11" s="1"/>
  <c r="J15" i="11"/>
  <c r="K15" i="11"/>
  <c r="L15" i="11"/>
  <c r="M15" i="11"/>
  <c r="A16" i="11"/>
  <c r="B16" i="11"/>
  <c r="I16" i="11" s="1"/>
  <c r="C16" i="11"/>
  <c r="G16" i="11" s="1"/>
  <c r="J16" i="11"/>
  <c r="K16" i="11"/>
  <c r="L16" i="11"/>
  <c r="M16" i="11"/>
  <c r="A17" i="11"/>
  <c r="B17" i="11"/>
  <c r="I17" i="11" s="1"/>
  <c r="C17" i="11"/>
  <c r="J17" i="11"/>
  <c r="K17" i="11"/>
  <c r="L17" i="11"/>
  <c r="M17" i="11"/>
  <c r="A18" i="11"/>
  <c r="B18" i="11"/>
  <c r="I18" i="11" s="1"/>
  <c r="C18" i="11"/>
  <c r="G18" i="11" s="1"/>
  <c r="J18" i="11"/>
  <c r="K18" i="11"/>
  <c r="L18" i="11"/>
  <c r="M18" i="11"/>
  <c r="A19" i="11"/>
  <c r="B19" i="11"/>
  <c r="I19" i="11" s="1"/>
  <c r="C19" i="11"/>
  <c r="E19" i="11" s="1"/>
  <c r="J19" i="11"/>
  <c r="K19" i="11"/>
  <c r="L19" i="11"/>
  <c r="M19" i="11"/>
  <c r="A20" i="11"/>
  <c r="B20" i="11"/>
  <c r="I20" i="11" s="1"/>
  <c r="C20" i="11"/>
  <c r="G20" i="11" s="1"/>
  <c r="J20" i="11"/>
  <c r="K20" i="11"/>
  <c r="L20" i="11"/>
  <c r="M20" i="11"/>
  <c r="A21" i="11"/>
  <c r="B21" i="11"/>
  <c r="H21" i="11" s="1"/>
  <c r="C21" i="11"/>
  <c r="J21" i="11"/>
  <c r="K21" i="11"/>
  <c r="L21" i="11"/>
  <c r="M21" i="11"/>
  <c r="A22" i="11"/>
  <c r="B22" i="11"/>
  <c r="I22" i="11" s="1"/>
  <c r="C22" i="11"/>
  <c r="G22" i="11" s="1"/>
  <c r="J22" i="11"/>
  <c r="K22" i="11"/>
  <c r="L22" i="11"/>
  <c r="M22" i="11"/>
  <c r="A23" i="11"/>
  <c r="B23" i="11"/>
  <c r="I23" i="11" s="1"/>
  <c r="C23" i="11"/>
  <c r="E23" i="11" s="1"/>
  <c r="J23" i="11"/>
  <c r="K23" i="11"/>
  <c r="L23" i="11"/>
  <c r="M23" i="11"/>
  <c r="A24" i="11"/>
  <c r="B24" i="11"/>
  <c r="C24" i="11"/>
  <c r="J24" i="11"/>
  <c r="E24" i="11" s="1"/>
  <c r="K24" i="11"/>
  <c r="F24" i="11" s="1"/>
  <c r="L24" i="11"/>
  <c r="M24" i="11"/>
  <c r="A25" i="11"/>
  <c r="B25" i="11"/>
  <c r="I25" i="11" s="1"/>
  <c r="C25" i="11"/>
  <c r="E25" i="11" s="1"/>
  <c r="J25" i="11"/>
  <c r="K25" i="11"/>
  <c r="F25" i="11" s="1"/>
  <c r="L25" i="11"/>
  <c r="M25" i="11"/>
  <c r="A26" i="11"/>
  <c r="B26" i="11"/>
  <c r="C26" i="11"/>
  <c r="G26" i="11" s="1"/>
  <c r="J26" i="11"/>
  <c r="K26" i="11"/>
  <c r="L26" i="11"/>
  <c r="M26" i="11"/>
  <c r="A27" i="11"/>
  <c r="B27" i="11"/>
  <c r="C27" i="11"/>
  <c r="E27" i="11" s="1"/>
  <c r="J27" i="11"/>
  <c r="K27" i="11"/>
  <c r="L27" i="11"/>
  <c r="M27" i="11"/>
  <c r="M2" i="11"/>
  <c r="L2" i="11"/>
  <c r="K2" i="11"/>
  <c r="J2" i="11"/>
  <c r="C2" i="11"/>
  <c r="B2" i="11"/>
  <c r="I2" i="11" s="1"/>
  <c r="A2" i="11"/>
  <c r="E3" i="5"/>
  <c r="F3" i="5"/>
  <c r="G3" i="5"/>
  <c r="H3" i="5"/>
  <c r="I3" i="5"/>
  <c r="E4" i="5"/>
  <c r="F4" i="5"/>
  <c r="G4" i="5"/>
  <c r="H4" i="5"/>
  <c r="I4" i="5"/>
  <c r="E5" i="5"/>
  <c r="F5" i="5"/>
  <c r="G5" i="5"/>
  <c r="H5" i="5"/>
  <c r="I5" i="5"/>
  <c r="E6" i="5"/>
  <c r="F6" i="5"/>
  <c r="G6" i="5"/>
  <c r="H6" i="5"/>
  <c r="I6" i="5"/>
  <c r="E7" i="5"/>
  <c r="F7" i="5"/>
  <c r="G7" i="5"/>
  <c r="H7" i="5"/>
  <c r="I7" i="5"/>
  <c r="E8" i="5"/>
  <c r="F8" i="5"/>
  <c r="G8" i="5"/>
  <c r="H8" i="5"/>
  <c r="I8" i="5"/>
  <c r="E9" i="5"/>
  <c r="F9" i="5"/>
  <c r="G9" i="5"/>
  <c r="H9" i="5"/>
  <c r="I9" i="5"/>
  <c r="E10" i="5"/>
  <c r="F10" i="5"/>
  <c r="G10" i="5"/>
  <c r="H10" i="5"/>
  <c r="I10" i="5"/>
  <c r="E11" i="5"/>
  <c r="F11" i="5"/>
  <c r="G11" i="5"/>
  <c r="H11" i="5"/>
  <c r="I11" i="5"/>
  <c r="E12" i="5"/>
  <c r="F12" i="5"/>
  <c r="G12" i="5"/>
  <c r="H12" i="5"/>
  <c r="I12" i="5"/>
  <c r="E13" i="5"/>
  <c r="F13" i="5"/>
  <c r="G13" i="5"/>
  <c r="H13" i="5"/>
  <c r="I13" i="5"/>
  <c r="E14" i="5"/>
  <c r="F14" i="5"/>
  <c r="G14" i="5"/>
  <c r="H14" i="5"/>
  <c r="I14" i="5"/>
  <c r="E15" i="5"/>
  <c r="F15" i="5"/>
  <c r="G15" i="5"/>
  <c r="H15" i="5"/>
  <c r="I15" i="5"/>
  <c r="E16" i="5"/>
  <c r="F16" i="5"/>
  <c r="G16" i="5"/>
  <c r="H16" i="5"/>
  <c r="I16" i="5"/>
  <c r="E17" i="5"/>
  <c r="F17" i="5"/>
  <c r="G17" i="5"/>
  <c r="H17" i="5"/>
  <c r="I17" i="5"/>
  <c r="E18" i="5"/>
  <c r="F18" i="5"/>
  <c r="G18" i="5"/>
  <c r="H18" i="5"/>
  <c r="I18" i="5"/>
  <c r="E19" i="5"/>
  <c r="F19" i="5"/>
  <c r="G19" i="5"/>
  <c r="H19" i="5"/>
  <c r="I19" i="5"/>
  <c r="E20" i="5"/>
  <c r="F20" i="5"/>
  <c r="G20" i="5"/>
  <c r="H20" i="5"/>
  <c r="I20" i="5"/>
  <c r="E21" i="5"/>
  <c r="F21" i="5"/>
  <c r="G21" i="5"/>
  <c r="H21" i="5"/>
  <c r="I21" i="5"/>
  <c r="E22" i="5"/>
  <c r="F22" i="5"/>
  <c r="G22" i="5"/>
  <c r="H22" i="5"/>
  <c r="I22" i="5"/>
  <c r="E23" i="5"/>
  <c r="F23" i="5"/>
  <c r="G23" i="5"/>
  <c r="H23" i="5"/>
  <c r="I23" i="5"/>
  <c r="E24" i="5"/>
  <c r="F24" i="5"/>
  <c r="G24" i="5"/>
  <c r="H24" i="5"/>
  <c r="I24" i="5"/>
  <c r="E25" i="5"/>
  <c r="F25" i="5"/>
  <c r="G25" i="5"/>
  <c r="H25" i="5"/>
  <c r="I25" i="5"/>
  <c r="E26" i="5"/>
  <c r="F26" i="5"/>
  <c r="G26" i="5"/>
  <c r="H26" i="5"/>
  <c r="I26" i="5"/>
  <c r="E27" i="5"/>
  <c r="F27" i="5"/>
  <c r="G27" i="5"/>
  <c r="H27" i="5"/>
  <c r="I27" i="5"/>
  <c r="E28" i="5"/>
  <c r="F28" i="5"/>
  <c r="G28" i="5"/>
  <c r="H28" i="5"/>
  <c r="I28" i="5"/>
  <c r="E29" i="5"/>
  <c r="F29" i="5"/>
  <c r="G29" i="5"/>
  <c r="H29" i="5"/>
  <c r="I29" i="5"/>
  <c r="E30" i="5"/>
  <c r="F30" i="5"/>
  <c r="G30" i="5"/>
  <c r="H30" i="5"/>
  <c r="I30" i="5"/>
  <c r="E31" i="5"/>
  <c r="F31" i="5"/>
  <c r="G31" i="5"/>
  <c r="H31" i="5"/>
  <c r="I31" i="5"/>
  <c r="E32" i="5"/>
  <c r="F32" i="5"/>
  <c r="G32" i="5"/>
  <c r="H32" i="5"/>
  <c r="I32" i="5"/>
  <c r="I2" i="5"/>
  <c r="H2" i="5"/>
  <c r="G2" i="5"/>
  <c r="F2" i="5"/>
  <c r="E2" i="5"/>
  <c r="A3" i="10"/>
  <c r="B3" i="10"/>
  <c r="C3" i="10"/>
  <c r="G3" i="10" s="1"/>
  <c r="D3" i="10"/>
  <c r="H3" i="10"/>
  <c r="I3" i="10"/>
  <c r="J3" i="10"/>
  <c r="K3" i="10"/>
  <c r="L3" i="10"/>
  <c r="M3" i="10"/>
  <c r="N3" i="10"/>
  <c r="A4" i="10"/>
  <c r="B4" i="10"/>
  <c r="I4" i="10" s="1"/>
  <c r="C4" i="10"/>
  <c r="G4" i="10" s="1"/>
  <c r="D4" i="10"/>
  <c r="H4" i="10" s="1"/>
  <c r="J4" i="10"/>
  <c r="K4" i="10"/>
  <c r="L4" i="10"/>
  <c r="M4" i="10"/>
  <c r="N4" i="10"/>
  <c r="O4" i="10"/>
  <c r="A5" i="10"/>
  <c r="B5" i="10"/>
  <c r="C5" i="10"/>
  <c r="D5" i="10"/>
  <c r="G5" i="10"/>
  <c r="I5" i="10"/>
  <c r="J5" i="10"/>
  <c r="K5" i="10"/>
  <c r="L5" i="10"/>
  <c r="M5" i="10"/>
  <c r="N5" i="10"/>
  <c r="A6" i="10"/>
  <c r="B6" i="10"/>
  <c r="C6" i="10"/>
  <c r="D6" i="10"/>
  <c r="G6" i="10"/>
  <c r="I6" i="10"/>
  <c r="J6" i="10"/>
  <c r="K6" i="10"/>
  <c r="L6" i="10"/>
  <c r="M6" i="10"/>
  <c r="N6" i="10"/>
  <c r="A7" i="10"/>
  <c r="B7" i="10"/>
  <c r="I7" i="10" s="1"/>
  <c r="C7" i="10"/>
  <c r="D7" i="10"/>
  <c r="G7" i="10"/>
  <c r="J7" i="10"/>
  <c r="K7" i="10"/>
  <c r="L7" i="10"/>
  <c r="M7" i="10"/>
  <c r="N7" i="10"/>
  <c r="A8" i="10"/>
  <c r="B8" i="10"/>
  <c r="I8" i="10" s="1"/>
  <c r="C8" i="10"/>
  <c r="D8" i="10"/>
  <c r="H8" i="10"/>
  <c r="J8" i="10"/>
  <c r="K8" i="10"/>
  <c r="L8" i="10"/>
  <c r="M8" i="10"/>
  <c r="N8" i="10"/>
  <c r="A9" i="10"/>
  <c r="B9" i="10"/>
  <c r="C9" i="10"/>
  <c r="D9" i="10"/>
  <c r="G9" i="10"/>
  <c r="I9" i="10"/>
  <c r="J9" i="10"/>
  <c r="K9" i="10"/>
  <c r="L9" i="10"/>
  <c r="M9" i="10"/>
  <c r="O9" i="10" s="1"/>
  <c r="N9" i="10"/>
  <c r="A10" i="10"/>
  <c r="B10" i="10"/>
  <c r="C10" i="10"/>
  <c r="D10" i="10"/>
  <c r="J10" i="10"/>
  <c r="K10" i="10"/>
  <c r="L10" i="10"/>
  <c r="M10" i="10"/>
  <c r="N10" i="10"/>
  <c r="O10" i="10"/>
  <c r="A11" i="10"/>
  <c r="B11" i="10"/>
  <c r="I11" i="10" s="1"/>
  <c r="C11" i="10"/>
  <c r="G11" i="10" s="1"/>
  <c r="D11" i="10"/>
  <c r="H11" i="10" s="1"/>
  <c r="J11" i="10"/>
  <c r="K11" i="10"/>
  <c r="L11" i="10"/>
  <c r="M11" i="10"/>
  <c r="N11" i="10"/>
  <c r="O11" i="10"/>
  <c r="A12" i="10"/>
  <c r="B12" i="10"/>
  <c r="C12" i="10"/>
  <c r="D12" i="10"/>
  <c r="G12" i="10"/>
  <c r="H12" i="10"/>
  <c r="I12" i="10"/>
  <c r="J12" i="10"/>
  <c r="K12" i="10"/>
  <c r="L12" i="10"/>
  <c r="M12" i="10"/>
  <c r="N12" i="10"/>
  <c r="O12" i="10"/>
  <c r="A13" i="10"/>
  <c r="B13" i="10"/>
  <c r="C13" i="10"/>
  <c r="D13" i="10"/>
  <c r="G13" i="10"/>
  <c r="H13" i="10"/>
  <c r="I13" i="10"/>
  <c r="J13" i="10"/>
  <c r="K13" i="10"/>
  <c r="L13" i="10"/>
  <c r="M13" i="10"/>
  <c r="O13" i="10" s="1"/>
  <c r="N13" i="10"/>
  <c r="A14" i="10"/>
  <c r="B14" i="10"/>
  <c r="C14" i="10"/>
  <c r="D14" i="10"/>
  <c r="G14" i="10"/>
  <c r="H14" i="10"/>
  <c r="I14" i="10"/>
  <c r="J14" i="10"/>
  <c r="K14" i="10"/>
  <c r="L14" i="10"/>
  <c r="M14" i="10"/>
  <c r="N14" i="10"/>
  <c r="O14" i="10"/>
  <c r="A15" i="10"/>
  <c r="B15" i="10"/>
  <c r="C15" i="10"/>
  <c r="D15" i="10"/>
  <c r="H15" i="10" s="1"/>
  <c r="G15" i="10"/>
  <c r="I15" i="10"/>
  <c r="J15" i="10"/>
  <c r="K15" i="10"/>
  <c r="L15" i="10"/>
  <c r="M15" i="10"/>
  <c r="N15" i="10"/>
  <c r="O15" i="10"/>
  <c r="A16" i="10"/>
  <c r="B16" i="10"/>
  <c r="I16" i="10" s="1"/>
  <c r="C16" i="10"/>
  <c r="G16" i="10" s="1"/>
  <c r="D16" i="10"/>
  <c r="H16" i="10" s="1"/>
  <c r="J16" i="10"/>
  <c r="K16" i="10"/>
  <c r="L16" i="10"/>
  <c r="M16" i="10"/>
  <c r="N16" i="10"/>
  <c r="O16" i="10"/>
  <c r="A17" i="10"/>
  <c r="B17" i="10"/>
  <c r="C17" i="10"/>
  <c r="G17" i="10" s="1"/>
  <c r="D17" i="10"/>
  <c r="H17" i="10" s="1"/>
  <c r="E17" i="10"/>
  <c r="F17" i="10"/>
  <c r="J17" i="10"/>
  <c r="K17" i="10"/>
  <c r="L17" i="10"/>
  <c r="M17" i="10"/>
  <c r="N17" i="10"/>
  <c r="O17" i="10"/>
  <c r="A18" i="10"/>
  <c r="B18" i="10"/>
  <c r="C18" i="10"/>
  <c r="D18" i="10"/>
  <c r="G18" i="10"/>
  <c r="H18" i="10"/>
  <c r="I18" i="10"/>
  <c r="J18" i="10"/>
  <c r="K18" i="10"/>
  <c r="L18" i="10"/>
  <c r="M18" i="10"/>
  <c r="N18" i="10"/>
  <c r="O18" i="10"/>
  <c r="A19" i="10"/>
  <c r="B19" i="10"/>
  <c r="C19" i="10"/>
  <c r="D19" i="10"/>
  <c r="G19" i="10"/>
  <c r="H19" i="10"/>
  <c r="I19" i="10"/>
  <c r="J19" i="10"/>
  <c r="K19" i="10"/>
  <c r="L19" i="10"/>
  <c r="M19" i="10"/>
  <c r="O19" i="10" s="1"/>
  <c r="N19" i="10"/>
  <c r="A20" i="10"/>
  <c r="B20" i="10"/>
  <c r="C20" i="10"/>
  <c r="D20" i="10"/>
  <c r="G20" i="10"/>
  <c r="H20" i="10"/>
  <c r="I20" i="10"/>
  <c r="J20" i="10"/>
  <c r="K20" i="10"/>
  <c r="L20" i="10"/>
  <c r="M20" i="10"/>
  <c r="N20" i="10"/>
  <c r="O20" i="10"/>
  <c r="A21" i="10"/>
  <c r="B21" i="10"/>
  <c r="I21" i="10" s="1"/>
  <c r="C21" i="10"/>
  <c r="G21" i="10" s="1"/>
  <c r="D21" i="10"/>
  <c r="H21" i="10"/>
  <c r="J21" i="10"/>
  <c r="K21" i="10"/>
  <c r="L21" i="10"/>
  <c r="M21" i="10"/>
  <c r="N21" i="10"/>
  <c r="O21" i="10"/>
  <c r="A22" i="10"/>
  <c r="B22" i="10"/>
  <c r="I22" i="10" s="1"/>
  <c r="C22" i="10"/>
  <c r="G22" i="10" s="1"/>
  <c r="D22" i="10"/>
  <c r="H22" i="10" s="1"/>
  <c r="J22" i="10"/>
  <c r="K22" i="10"/>
  <c r="L22" i="10"/>
  <c r="M22" i="10"/>
  <c r="N22" i="10"/>
  <c r="O22" i="10"/>
  <c r="A23" i="10"/>
  <c r="B23" i="10"/>
  <c r="C23" i="10"/>
  <c r="D23" i="10"/>
  <c r="G23" i="10"/>
  <c r="H23" i="10"/>
  <c r="I23" i="10"/>
  <c r="J23" i="10"/>
  <c r="K23" i="10"/>
  <c r="L23" i="10"/>
  <c r="M23" i="10"/>
  <c r="N23" i="10"/>
  <c r="O23" i="10"/>
  <c r="A24" i="10"/>
  <c r="B24" i="10"/>
  <c r="C24" i="10"/>
  <c r="D24" i="10"/>
  <c r="G24" i="10"/>
  <c r="H24" i="10"/>
  <c r="I24" i="10"/>
  <c r="J24" i="10"/>
  <c r="K24" i="10"/>
  <c r="L24" i="10"/>
  <c r="M24" i="10"/>
  <c r="O24" i="10" s="1"/>
  <c r="N24" i="10"/>
  <c r="A25" i="10"/>
  <c r="B25" i="10"/>
  <c r="C25" i="10"/>
  <c r="D25" i="10"/>
  <c r="G25" i="10"/>
  <c r="H25" i="10"/>
  <c r="I25" i="10"/>
  <c r="J25" i="10"/>
  <c r="K25" i="10"/>
  <c r="L25" i="10"/>
  <c r="M25" i="10"/>
  <c r="N25" i="10"/>
  <c r="O25" i="10"/>
  <c r="A26" i="10"/>
  <c r="B26" i="10"/>
  <c r="C26" i="10"/>
  <c r="D26" i="10"/>
  <c r="G26" i="10"/>
  <c r="H26" i="10"/>
  <c r="I26" i="10"/>
  <c r="J26" i="10"/>
  <c r="K26" i="10"/>
  <c r="L26" i="10"/>
  <c r="M26" i="10"/>
  <c r="N26" i="10"/>
  <c r="O26" i="10"/>
  <c r="A27" i="10"/>
  <c r="B27" i="10"/>
  <c r="I27" i="10" s="1"/>
  <c r="C27" i="10"/>
  <c r="G27" i="10" s="1"/>
  <c r="D27" i="10"/>
  <c r="H27" i="10" s="1"/>
  <c r="J27" i="10"/>
  <c r="K27" i="10"/>
  <c r="L27" i="10"/>
  <c r="M27" i="10"/>
  <c r="N27" i="10"/>
  <c r="O27" i="10"/>
  <c r="A28" i="10"/>
  <c r="B28" i="10"/>
  <c r="C28" i="10"/>
  <c r="D28" i="10"/>
  <c r="G28" i="10"/>
  <c r="I28" i="10"/>
  <c r="J28" i="10"/>
  <c r="K28" i="10"/>
  <c r="L28" i="10"/>
  <c r="M28" i="10"/>
  <c r="N28" i="10"/>
  <c r="O28" i="10"/>
  <c r="A29" i="10"/>
  <c r="B29" i="10"/>
  <c r="C29" i="10"/>
  <c r="D29" i="10"/>
  <c r="G29" i="10"/>
  <c r="H29" i="10"/>
  <c r="I29" i="10"/>
  <c r="J29" i="10"/>
  <c r="K29" i="10"/>
  <c r="L29" i="10"/>
  <c r="M29" i="10"/>
  <c r="O29" i="10" s="1"/>
  <c r="N29" i="10"/>
  <c r="A30" i="10"/>
  <c r="B30" i="10"/>
  <c r="C30" i="10"/>
  <c r="D30" i="10"/>
  <c r="G30" i="10"/>
  <c r="I30" i="10"/>
  <c r="J30" i="10"/>
  <c r="K30" i="10"/>
  <c r="L30" i="10"/>
  <c r="M30" i="10"/>
  <c r="N30" i="10"/>
  <c r="O30" i="10"/>
  <c r="O2" i="10"/>
  <c r="N2" i="10"/>
  <c r="M2" i="10"/>
  <c r="L2" i="10"/>
  <c r="K2" i="10"/>
  <c r="J2" i="10"/>
  <c r="D2" i="10"/>
  <c r="H2" i="10" s="1"/>
  <c r="C2" i="10"/>
  <c r="E2" i="10" s="1"/>
  <c r="B2" i="10"/>
  <c r="I2" i="10" s="1"/>
  <c r="A2" i="10"/>
  <c r="A3" i="9"/>
  <c r="B3" i="9"/>
  <c r="I3" i="9" s="1"/>
  <c r="C3" i="9"/>
  <c r="G3" i="9" s="1"/>
  <c r="D3" i="9"/>
  <c r="H3" i="9" s="1"/>
  <c r="J3" i="9"/>
  <c r="K3" i="9"/>
  <c r="L3" i="9"/>
  <c r="M3" i="9"/>
  <c r="N3" i="9"/>
  <c r="O3" i="9"/>
  <c r="A4" i="9"/>
  <c r="B4" i="9"/>
  <c r="I4" i="9" s="1"/>
  <c r="C4" i="9"/>
  <c r="D4" i="9"/>
  <c r="G4" i="9"/>
  <c r="H4" i="9"/>
  <c r="J4" i="9"/>
  <c r="K4" i="9"/>
  <c r="L4" i="9"/>
  <c r="M4" i="9"/>
  <c r="N4" i="9"/>
  <c r="O4" i="9"/>
  <c r="A5" i="9"/>
  <c r="B5" i="9"/>
  <c r="C5" i="9"/>
  <c r="D5" i="9"/>
  <c r="G5" i="9"/>
  <c r="H5" i="9"/>
  <c r="I5" i="9"/>
  <c r="J5" i="9"/>
  <c r="K5" i="9"/>
  <c r="L5" i="9"/>
  <c r="M5" i="9"/>
  <c r="N5" i="9"/>
  <c r="O5" i="9"/>
  <c r="A6" i="9"/>
  <c r="B6" i="9"/>
  <c r="C6" i="9"/>
  <c r="D6" i="9"/>
  <c r="H6" i="9"/>
  <c r="I6" i="9"/>
  <c r="J6" i="9"/>
  <c r="K6" i="9"/>
  <c r="F6" i="9" s="1"/>
  <c r="L6" i="9"/>
  <c r="M6" i="9"/>
  <c r="O6" i="9" s="1"/>
  <c r="N6" i="9"/>
  <c r="A7" i="9"/>
  <c r="B7" i="9"/>
  <c r="C7" i="9"/>
  <c r="G7" i="9" s="1"/>
  <c r="D7" i="9"/>
  <c r="I7" i="9"/>
  <c r="J7" i="9"/>
  <c r="K7" i="9"/>
  <c r="L7" i="9"/>
  <c r="M7" i="9"/>
  <c r="N7" i="9"/>
  <c r="O7" i="9"/>
  <c r="A8" i="9"/>
  <c r="B8" i="9"/>
  <c r="I8" i="9" s="1"/>
  <c r="C8" i="9"/>
  <c r="G8" i="9" s="1"/>
  <c r="D8" i="9"/>
  <c r="H8" i="9" s="1"/>
  <c r="J8" i="9"/>
  <c r="K8" i="9"/>
  <c r="L8" i="9"/>
  <c r="M8" i="9"/>
  <c r="N8" i="9"/>
  <c r="A9" i="9"/>
  <c r="B9" i="9"/>
  <c r="C9" i="9"/>
  <c r="D9" i="9"/>
  <c r="G9" i="9"/>
  <c r="H9" i="9"/>
  <c r="I9" i="9"/>
  <c r="J9" i="9"/>
  <c r="K9" i="9"/>
  <c r="L9" i="9"/>
  <c r="M9" i="9"/>
  <c r="O9" i="9" s="1"/>
  <c r="N9" i="9"/>
  <c r="A10" i="9"/>
  <c r="B10" i="9"/>
  <c r="C10" i="9"/>
  <c r="D10" i="9"/>
  <c r="G10" i="9"/>
  <c r="H10" i="9"/>
  <c r="I10" i="9"/>
  <c r="J10" i="9"/>
  <c r="K10" i="9"/>
  <c r="L10" i="9"/>
  <c r="M10" i="9"/>
  <c r="O10" i="9" s="1"/>
  <c r="N10" i="9"/>
  <c r="A11" i="9"/>
  <c r="B11" i="9"/>
  <c r="C11" i="9"/>
  <c r="D11" i="9"/>
  <c r="G11" i="9"/>
  <c r="H11" i="9"/>
  <c r="I11" i="9"/>
  <c r="J11" i="9"/>
  <c r="K11" i="9"/>
  <c r="L11" i="9"/>
  <c r="M11" i="9"/>
  <c r="N11" i="9"/>
  <c r="O11" i="9"/>
  <c r="A12" i="9"/>
  <c r="B12" i="9"/>
  <c r="C12" i="9"/>
  <c r="D12" i="9"/>
  <c r="H12" i="9" s="1"/>
  <c r="G12" i="9"/>
  <c r="I12" i="9"/>
  <c r="J12" i="9"/>
  <c r="K12" i="9"/>
  <c r="L12" i="9"/>
  <c r="M12" i="9"/>
  <c r="N12" i="9"/>
  <c r="O12" i="9"/>
  <c r="A13" i="9"/>
  <c r="B13" i="9"/>
  <c r="I13" i="9" s="1"/>
  <c r="C13" i="9"/>
  <c r="G13" i="9" s="1"/>
  <c r="D13" i="9"/>
  <c r="H13" i="9" s="1"/>
  <c r="J13" i="9"/>
  <c r="K13" i="9"/>
  <c r="L13" i="9"/>
  <c r="M13" i="9"/>
  <c r="N13" i="9"/>
  <c r="O13" i="9"/>
  <c r="A14" i="9"/>
  <c r="B14" i="9"/>
  <c r="C14" i="9"/>
  <c r="D14" i="9"/>
  <c r="I14" i="9"/>
  <c r="J14" i="9"/>
  <c r="K14" i="9"/>
  <c r="L14" i="9"/>
  <c r="M14" i="9"/>
  <c r="N14" i="9"/>
  <c r="A15" i="9"/>
  <c r="B15" i="9"/>
  <c r="C15" i="9"/>
  <c r="D15" i="9"/>
  <c r="G15" i="9"/>
  <c r="H15" i="9"/>
  <c r="I15" i="9"/>
  <c r="J15" i="9"/>
  <c r="K15" i="9"/>
  <c r="L15" i="9"/>
  <c r="M15" i="9"/>
  <c r="O15" i="9" s="1"/>
  <c r="N15" i="9"/>
  <c r="A16" i="9"/>
  <c r="B16" i="9"/>
  <c r="C16" i="9"/>
  <c r="G16" i="9" s="1"/>
  <c r="D16" i="9"/>
  <c r="H16" i="9"/>
  <c r="I16" i="9"/>
  <c r="J16" i="9"/>
  <c r="K16" i="9"/>
  <c r="L16" i="9"/>
  <c r="M16" i="9"/>
  <c r="N16" i="9"/>
  <c r="O16" i="9"/>
  <c r="A17" i="9"/>
  <c r="B17" i="9"/>
  <c r="H17" i="9" s="1"/>
  <c r="C17" i="9"/>
  <c r="G17" i="9" s="1"/>
  <c r="D17" i="9"/>
  <c r="J17" i="9"/>
  <c r="K17" i="9"/>
  <c r="L17" i="9"/>
  <c r="M17" i="9"/>
  <c r="N17" i="9"/>
  <c r="O17" i="9"/>
  <c r="A18" i="9"/>
  <c r="B18" i="9"/>
  <c r="I18" i="9" s="1"/>
  <c r="C18" i="9"/>
  <c r="D18" i="9"/>
  <c r="H18" i="9" s="1"/>
  <c r="G18" i="9"/>
  <c r="J18" i="9"/>
  <c r="K18" i="9"/>
  <c r="L18" i="9"/>
  <c r="M18" i="9"/>
  <c r="N18" i="9"/>
  <c r="O18" i="9"/>
  <c r="A19" i="9"/>
  <c r="B19" i="9"/>
  <c r="C19" i="9"/>
  <c r="D19" i="9"/>
  <c r="G19" i="9"/>
  <c r="I19" i="9"/>
  <c r="J19" i="9"/>
  <c r="K19" i="9"/>
  <c r="L19" i="9"/>
  <c r="M19" i="9"/>
  <c r="N19" i="9"/>
  <c r="O19" i="9"/>
  <c r="A20" i="9"/>
  <c r="B20" i="9"/>
  <c r="C20" i="9"/>
  <c r="D20" i="9"/>
  <c r="G20" i="9"/>
  <c r="I20" i="9"/>
  <c r="J20" i="9"/>
  <c r="K20" i="9"/>
  <c r="L20" i="9"/>
  <c r="M20" i="9"/>
  <c r="N20" i="9"/>
  <c r="A21" i="9"/>
  <c r="B21" i="9"/>
  <c r="G21" i="9" s="1"/>
  <c r="C21" i="9"/>
  <c r="D21" i="9"/>
  <c r="H21" i="9"/>
  <c r="J21" i="9"/>
  <c r="K21" i="9"/>
  <c r="L21" i="9"/>
  <c r="M21" i="9"/>
  <c r="N21" i="9"/>
  <c r="O21" i="9"/>
  <c r="A22" i="9"/>
  <c r="B22" i="9"/>
  <c r="I22" i="9" s="1"/>
  <c r="C22" i="9"/>
  <c r="G22" i="9" s="1"/>
  <c r="D22" i="9"/>
  <c r="J22" i="9"/>
  <c r="K22" i="9"/>
  <c r="L22" i="9"/>
  <c r="M22" i="9"/>
  <c r="N22" i="9"/>
  <c r="O22" i="9"/>
  <c r="A23" i="9"/>
  <c r="B23" i="9"/>
  <c r="C23" i="9"/>
  <c r="D23" i="9"/>
  <c r="G23" i="9"/>
  <c r="I23" i="9"/>
  <c r="J23" i="9"/>
  <c r="K23" i="9"/>
  <c r="L23" i="9"/>
  <c r="M23" i="9"/>
  <c r="N23" i="9"/>
  <c r="O23" i="9"/>
  <c r="A24" i="9"/>
  <c r="B24" i="9"/>
  <c r="C24" i="9"/>
  <c r="D24" i="9"/>
  <c r="G24" i="9"/>
  <c r="H24" i="9"/>
  <c r="I24" i="9"/>
  <c r="J24" i="9"/>
  <c r="K24" i="9"/>
  <c r="L24" i="9"/>
  <c r="M24" i="9"/>
  <c r="N24" i="9"/>
  <c r="A25" i="9"/>
  <c r="B25" i="9"/>
  <c r="C25" i="9"/>
  <c r="D25" i="9"/>
  <c r="H25" i="9" s="1"/>
  <c r="G25" i="9"/>
  <c r="I25" i="9"/>
  <c r="J25" i="9"/>
  <c r="K25" i="9"/>
  <c r="L25" i="9"/>
  <c r="M25" i="9"/>
  <c r="N25" i="9"/>
  <c r="O25" i="9"/>
  <c r="A26" i="9"/>
  <c r="B26" i="9"/>
  <c r="I26" i="9" s="1"/>
  <c r="C26" i="9"/>
  <c r="G26" i="9" s="1"/>
  <c r="D26" i="9"/>
  <c r="J26" i="9"/>
  <c r="K26" i="9"/>
  <c r="L26" i="9"/>
  <c r="M26" i="9"/>
  <c r="N26" i="9"/>
  <c r="A27" i="9"/>
  <c r="B27" i="9"/>
  <c r="C27" i="9"/>
  <c r="D27" i="9"/>
  <c r="G27" i="9"/>
  <c r="H27" i="9"/>
  <c r="I27" i="9"/>
  <c r="J27" i="9"/>
  <c r="K27" i="9"/>
  <c r="L27" i="9"/>
  <c r="M27" i="9"/>
  <c r="N27" i="9"/>
  <c r="O27" i="9"/>
  <c r="A28" i="9"/>
  <c r="B28" i="9"/>
  <c r="C28" i="9"/>
  <c r="D28" i="9"/>
  <c r="H28" i="9"/>
  <c r="I28" i="9"/>
  <c r="J28" i="9"/>
  <c r="K28" i="9"/>
  <c r="L28" i="9"/>
  <c r="M28" i="9"/>
  <c r="O28" i="9" s="1"/>
  <c r="N28" i="9"/>
  <c r="A29" i="9"/>
  <c r="B29" i="9"/>
  <c r="C29" i="9"/>
  <c r="G29" i="9" s="1"/>
  <c r="D29" i="9"/>
  <c r="I29" i="9"/>
  <c r="J29" i="9"/>
  <c r="K29" i="9"/>
  <c r="L29" i="9"/>
  <c r="M29" i="9"/>
  <c r="N29" i="9"/>
  <c r="O29" i="9"/>
  <c r="A30" i="9"/>
  <c r="B30" i="9"/>
  <c r="I30" i="9" s="1"/>
  <c r="C30" i="9"/>
  <c r="G30" i="9" s="1"/>
  <c r="D30" i="9"/>
  <c r="H30" i="9" s="1"/>
  <c r="J30" i="9"/>
  <c r="K30" i="9"/>
  <c r="L30" i="9"/>
  <c r="M30" i="9"/>
  <c r="N30" i="9"/>
  <c r="O30" i="9"/>
  <c r="A31" i="9"/>
  <c r="B31" i="9"/>
  <c r="I31" i="9" s="1"/>
  <c r="C31" i="9"/>
  <c r="D31" i="9"/>
  <c r="G31" i="9"/>
  <c r="H31" i="9"/>
  <c r="J31" i="9"/>
  <c r="K31" i="9"/>
  <c r="L31" i="9"/>
  <c r="M31" i="9"/>
  <c r="N31" i="9"/>
  <c r="O31" i="9"/>
  <c r="A32" i="9"/>
  <c r="B32" i="9"/>
  <c r="C32" i="9"/>
  <c r="D32" i="9"/>
  <c r="I32" i="9"/>
  <c r="J32" i="9"/>
  <c r="K32" i="9"/>
  <c r="L32" i="9"/>
  <c r="M32" i="9"/>
  <c r="N32" i="9"/>
  <c r="A33" i="9"/>
  <c r="B33" i="9"/>
  <c r="C33" i="9"/>
  <c r="D33" i="9"/>
  <c r="I33" i="9"/>
  <c r="J33" i="9"/>
  <c r="K33" i="9"/>
  <c r="L33" i="9"/>
  <c r="M33" i="9"/>
  <c r="N33" i="9"/>
  <c r="O33" i="9"/>
  <c r="A34" i="9"/>
  <c r="B34" i="9"/>
  <c r="I34" i="9" s="1"/>
  <c r="C34" i="9"/>
  <c r="G34" i="9" s="1"/>
  <c r="D34" i="9"/>
  <c r="H34" i="9" s="1"/>
  <c r="J34" i="9"/>
  <c r="K34" i="9"/>
  <c r="L34" i="9"/>
  <c r="M34" i="9"/>
  <c r="N34" i="9"/>
  <c r="O34" i="9"/>
  <c r="A35" i="9"/>
  <c r="B35" i="9"/>
  <c r="C35" i="9"/>
  <c r="D35" i="9"/>
  <c r="G35" i="9"/>
  <c r="H35" i="9"/>
  <c r="I35" i="9"/>
  <c r="J35" i="9"/>
  <c r="K35" i="9"/>
  <c r="L35" i="9"/>
  <c r="M35" i="9"/>
  <c r="N35" i="9"/>
  <c r="A36" i="9"/>
  <c r="B36" i="9"/>
  <c r="C36" i="9"/>
  <c r="D36" i="9"/>
  <c r="G36" i="9"/>
  <c r="H36" i="9"/>
  <c r="I36" i="9"/>
  <c r="J36" i="9"/>
  <c r="K36" i="9"/>
  <c r="L36" i="9"/>
  <c r="M36" i="9"/>
  <c r="O36" i="9" s="1"/>
  <c r="N36" i="9"/>
  <c r="A37" i="9"/>
  <c r="B37" i="9"/>
  <c r="C37" i="9"/>
  <c r="D37" i="9"/>
  <c r="G37" i="9"/>
  <c r="H37" i="9"/>
  <c r="I37" i="9"/>
  <c r="J37" i="9"/>
  <c r="K37" i="9"/>
  <c r="L37" i="9"/>
  <c r="M37" i="9"/>
  <c r="N37" i="9"/>
  <c r="O37" i="9"/>
  <c r="A38" i="9"/>
  <c r="B38" i="9"/>
  <c r="C38" i="9"/>
  <c r="D38" i="9"/>
  <c r="H38" i="9" s="1"/>
  <c r="I38" i="9"/>
  <c r="J38" i="9"/>
  <c r="K38" i="9"/>
  <c r="L38" i="9"/>
  <c r="M38" i="9"/>
  <c r="N38" i="9"/>
  <c r="A39" i="9"/>
  <c r="B39" i="9"/>
  <c r="I39" i="9" s="1"/>
  <c r="C39" i="9"/>
  <c r="D39" i="9"/>
  <c r="G39" i="9"/>
  <c r="H39" i="9"/>
  <c r="J39" i="9"/>
  <c r="K39" i="9"/>
  <c r="L39" i="9"/>
  <c r="M39" i="9"/>
  <c r="N39" i="9"/>
  <c r="O39" i="9"/>
  <c r="A40" i="9"/>
  <c r="B40" i="9"/>
  <c r="C40" i="9"/>
  <c r="D40" i="9"/>
  <c r="G40" i="9"/>
  <c r="H40" i="9"/>
  <c r="I40" i="9"/>
  <c r="J40" i="9"/>
  <c r="K40" i="9"/>
  <c r="L40" i="9"/>
  <c r="M40" i="9"/>
  <c r="O40" i="9" s="1"/>
  <c r="N40" i="9"/>
  <c r="A41" i="9"/>
  <c r="B41" i="9"/>
  <c r="C41" i="9"/>
  <c r="D41" i="9"/>
  <c r="G41" i="9"/>
  <c r="H41" i="9"/>
  <c r="I41" i="9"/>
  <c r="J41" i="9"/>
  <c r="K41" i="9"/>
  <c r="L41" i="9"/>
  <c r="M41" i="9"/>
  <c r="O41" i="9" s="1"/>
  <c r="N41" i="9"/>
  <c r="A42" i="9"/>
  <c r="B42" i="9"/>
  <c r="C42" i="9"/>
  <c r="D42" i="9"/>
  <c r="G42" i="9"/>
  <c r="H42" i="9"/>
  <c r="I42" i="9"/>
  <c r="J42" i="9"/>
  <c r="K42" i="9"/>
  <c r="L42" i="9"/>
  <c r="M42" i="9"/>
  <c r="N42" i="9"/>
  <c r="O42" i="9"/>
  <c r="A43" i="9"/>
  <c r="B43" i="9"/>
  <c r="I43" i="9" s="1"/>
  <c r="C43" i="9"/>
  <c r="G43" i="9" s="1"/>
  <c r="D43" i="9"/>
  <c r="H43" i="9" s="1"/>
  <c r="J43" i="9"/>
  <c r="K43" i="9"/>
  <c r="L43" i="9"/>
  <c r="M43" i="9"/>
  <c r="N43" i="9"/>
  <c r="O43" i="9"/>
  <c r="A44" i="9"/>
  <c r="B44" i="9"/>
  <c r="I44" i="9" s="1"/>
  <c r="C44" i="9"/>
  <c r="D44" i="9"/>
  <c r="H44" i="9" s="1"/>
  <c r="G44" i="9"/>
  <c r="J44" i="9"/>
  <c r="K44" i="9"/>
  <c r="L44" i="9"/>
  <c r="M44" i="9"/>
  <c r="N44" i="9"/>
  <c r="A45" i="9"/>
  <c r="B45" i="9"/>
  <c r="C45" i="9"/>
  <c r="D45" i="9"/>
  <c r="G45" i="9"/>
  <c r="H45" i="9"/>
  <c r="I45" i="9"/>
  <c r="J45" i="9"/>
  <c r="K45" i="9"/>
  <c r="L45" i="9"/>
  <c r="M45" i="9"/>
  <c r="O45" i="9" s="1"/>
  <c r="N45" i="9"/>
  <c r="A46" i="9"/>
  <c r="B46" i="9"/>
  <c r="C46" i="9"/>
  <c r="D46" i="9"/>
  <c r="G46" i="9"/>
  <c r="H46" i="9"/>
  <c r="I46" i="9"/>
  <c r="J46" i="9"/>
  <c r="K46" i="9"/>
  <c r="L46" i="9"/>
  <c r="M46" i="9"/>
  <c r="O46" i="9" s="1"/>
  <c r="N46" i="9"/>
  <c r="A47" i="9"/>
  <c r="B47" i="9"/>
  <c r="C47" i="9"/>
  <c r="G47" i="9" s="1"/>
  <c r="D47" i="9"/>
  <c r="H47" i="9"/>
  <c r="I47" i="9"/>
  <c r="J47" i="9"/>
  <c r="K47" i="9"/>
  <c r="L47" i="9"/>
  <c r="M47" i="9"/>
  <c r="N47" i="9"/>
  <c r="O47" i="9"/>
  <c r="A48" i="9"/>
  <c r="B48" i="9"/>
  <c r="I48" i="9" s="1"/>
  <c r="C48" i="9"/>
  <c r="G48" i="9" s="1"/>
  <c r="D48" i="9"/>
  <c r="J48" i="9"/>
  <c r="K48" i="9"/>
  <c r="L48" i="9"/>
  <c r="M48" i="9"/>
  <c r="N48" i="9"/>
  <c r="O48" i="9"/>
  <c r="A49" i="9"/>
  <c r="B49" i="9"/>
  <c r="I49" i="9" s="1"/>
  <c r="C49" i="9"/>
  <c r="D49" i="9"/>
  <c r="G49" i="9"/>
  <c r="H49" i="9"/>
  <c r="J49" i="9"/>
  <c r="K49" i="9"/>
  <c r="L49" i="9"/>
  <c r="M49" i="9"/>
  <c r="N49" i="9"/>
  <c r="O49" i="9"/>
  <c r="A50" i="9"/>
  <c r="B50" i="9"/>
  <c r="C50" i="9"/>
  <c r="D50" i="9"/>
  <c r="G50" i="9"/>
  <c r="H50" i="9"/>
  <c r="I50" i="9"/>
  <c r="J50" i="9"/>
  <c r="K50" i="9"/>
  <c r="L50" i="9"/>
  <c r="M50" i="9"/>
  <c r="N50" i="9"/>
  <c r="A51" i="9"/>
  <c r="B51" i="9"/>
  <c r="C51" i="9"/>
  <c r="D51" i="9"/>
  <c r="G51" i="9"/>
  <c r="H51" i="9"/>
  <c r="I51" i="9"/>
  <c r="J51" i="9"/>
  <c r="K51" i="9"/>
  <c r="L51" i="9"/>
  <c r="M51" i="9"/>
  <c r="N51" i="9"/>
  <c r="O51" i="9"/>
  <c r="A52" i="9"/>
  <c r="B52" i="9"/>
  <c r="C52" i="9"/>
  <c r="D52" i="9"/>
  <c r="H52" i="9" s="1"/>
  <c r="G52" i="9"/>
  <c r="I52" i="9"/>
  <c r="J52" i="9"/>
  <c r="K52" i="9"/>
  <c r="L52" i="9"/>
  <c r="M52" i="9"/>
  <c r="N52" i="9"/>
  <c r="O52" i="9"/>
  <c r="A53" i="9"/>
  <c r="B53" i="9"/>
  <c r="I53" i="9" s="1"/>
  <c r="C53" i="9"/>
  <c r="G53" i="9" s="1"/>
  <c r="D53" i="9"/>
  <c r="H53" i="9" s="1"/>
  <c r="J53" i="9"/>
  <c r="K53" i="9"/>
  <c r="L53" i="9"/>
  <c r="M53" i="9"/>
  <c r="N53" i="9"/>
  <c r="O53" i="9"/>
  <c r="A54" i="9"/>
  <c r="B54" i="9"/>
  <c r="I54" i="9" s="1"/>
  <c r="C54" i="9"/>
  <c r="D54" i="9"/>
  <c r="G54" i="9"/>
  <c r="H54" i="9"/>
  <c r="J54" i="9"/>
  <c r="K54" i="9"/>
  <c r="L54" i="9"/>
  <c r="M54" i="9"/>
  <c r="N54" i="9"/>
  <c r="O54" i="9"/>
  <c r="A55" i="9"/>
  <c r="B55" i="9"/>
  <c r="C55" i="9"/>
  <c r="D55" i="9"/>
  <c r="G55" i="9"/>
  <c r="H55" i="9"/>
  <c r="I55" i="9"/>
  <c r="J55" i="9"/>
  <c r="K55" i="9"/>
  <c r="L55" i="9"/>
  <c r="M55" i="9"/>
  <c r="N55" i="9"/>
  <c r="O55" i="9"/>
  <c r="A56" i="9"/>
  <c r="B56" i="9"/>
  <c r="C56" i="9"/>
  <c r="D56" i="9"/>
  <c r="G56" i="9"/>
  <c r="H56" i="9"/>
  <c r="I56" i="9"/>
  <c r="J56" i="9"/>
  <c r="K56" i="9"/>
  <c r="L56" i="9"/>
  <c r="M56" i="9"/>
  <c r="O56" i="9" s="1"/>
  <c r="N56" i="9"/>
  <c r="A57" i="9"/>
  <c r="B57" i="9"/>
  <c r="C57" i="9"/>
  <c r="G57" i="9" s="1"/>
  <c r="D57" i="9"/>
  <c r="H57" i="9"/>
  <c r="I57" i="9"/>
  <c r="J57" i="9"/>
  <c r="K57" i="9"/>
  <c r="L57" i="9"/>
  <c r="M57" i="9"/>
  <c r="N57" i="9"/>
  <c r="O57" i="9"/>
  <c r="A58" i="9"/>
  <c r="B58" i="9"/>
  <c r="I58" i="9" s="1"/>
  <c r="C58" i="9"/>
  <c r="G58" i="9" s="1"/>
  <c r="D58" i="9"/>
  <c r="H58" i="9" s="1"/>
  <c r="J58" i="9"/>
  <c r="K58" i="9"/>
  <c r="L58" i="9"/>
  <c r="M58" i="9"/>
  <c r="N58" i="9"/>
  <c r="O58" i="9"/>
  <c r="A59" i="9"/>
  <c r="B59" i="9"/>
  <c r="I59" i="9" s="1"/>
  <c r="C59" i="9"/>
  <c r="D59" i="9"/>
  <c r="H59" i="9" s="1"/>
  <c r="G59" i="9"/>
  <c r="J59" i="9"/>
  <c r="K59" i="9"/>
  <c r="L59" i="9"/>
  <c r="M59" i="9"/>
  <c r="N59" i="9"/>
  <c r="O59" i="9"/>
  <c r="A60" i="9"/>
  <c r="B60" i="9"/>
  <c r="C60" i="9"/>
  <c r="D60" i="9"/>
  <c r="G60" i="9"/>
  <c r="H60" i="9"/>
  <c r="I60" i="9"/>
  <c r="J60" i="9"/>
  <c r="K60" i="9"/>
  <c r="L60" i="9"/>
  <c r="M60" i="9"/>
  <c r="N60" i="9"/>
  <c r="O60" i="9"/>
  <c r="N2" i="9"/>
  <c r="M2" i="9"/>
  <c r="O2" i="9" s="1"/>
  <c r="L2" i="9"/>
  <c r="K2" i="9"/>
  <c r="J2" i="9"/>
  <c r="D2" i="9"/>
  <c r="C2" i="9"/>
  <c r="B2" i="9"/>
  <c r="A2" i="9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2" i="8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2" i="7"/>
  <c r="O6" i="8"/>
  <c r="O9" i="8"/>
  <c r="O10" i="8"/>
  <c r="O12" i="8"/>
  <c r="O13" i="8"/>
  <c r="O14" i="8"/>
  <c r="O15" i="8"/>
  <c r="O16" i="8"/>
  <c r="O2" i="8"/>
  <c r="J3" i="7"/>
  <c r="K3" i="7"/>
  <c r="L3" i="7"/>
  <c r="M3" i="7"/>
  <c r="O3" i="7" s="1"/>
  <c r="N3" i="7"/>
  <c r="J4" i="7"/>
  <c r="E4" i="7" s="1"/>
  <c r="K4" i="7"/>
  <c r="L4" i="7"/>
  <c r="M4" i="7"/>
  <c r="N4" i="7"/>
  <c r="O4" i="7"/>
  <c r="J5" i="7"/>
  <c r="K5" i="7"/>
  <c r="L5" i="7"/>
  <c r="M5" i="7"/>
  <c r="O5" i="7" s="1"/>
  <c r="N5" i="7"/>
  <c r="J6" i="7"/>
  <c r="K6" i="7"/>
  <c r="L6" i="7"/>
  <c r="M6" i="7"/>
  <c r="N6" i="7"/>
  <c r="O6" i="7"/>
  <c r="J7" i="7"/>
  <c r="K7" i="7"/>
  <c r="L7" i="7"/>
  <c r="M7" i="7"/>
  <c r="N7" i="7"/>
  <c r="O7" i="7"/>
  <c r="J8" i="7"/>
  <c r="K8" i="7"/>
  <c r="L8" i="7"/>
  <c r="M8" i="7"/>
  <c r="N8" i="7"/>
  <c r="O8" i="7"/>
  <c r="J9" i="7"/>
  <c r="K9" i="7"/>
  <c r="L9" i="7"/>
  <c r="M9" i="7"/>
  <c r="N9" i="7"/>
  <c r="O9" i="7"/>
  <c r="J10" i="7"/>
  <c r="K10" i="7"/>
  <c r="L10" i="7"/>
  <c r="M10" i="7"/>
  <c r="N10" i="7"/>
  <c r="O10" i="7"/>
  <c r="J11" i="7"/>
  <c r="K11" i="7"/>
  <c r="L11" i="7"/>
  <c r="M11" i="7"/>
  <c r="O11" i="7" s="1"/>
  <c r="N11" i="7"/>
  <c r="J12" i="7"/>
  <c r="K12" i="7"/>
  <c r="L12" i="7"/>
  <c r="M12" i="7"/>
  <c r="N12" i="7"/>
  <c r="O12" i="7"/>
  <c r="J13" i="7"/>
  <c r="K13" i="7"/>
  <c r="L13" i="7"/>
  <c r="M13" i="7"/>
  <c r="O13" i="7" s="1"/>
  <c r="N13" i="7"/>
  <c r="J14" i="7"/>
  <c r="K14" i="7"/>
  <c r="L14" i="7"/>
  <c r="M14" i="7"/>
  <c r="N14" i="7"/>
  <c r="O14" i="7"/>
  <c r="J15" i="7"/>
  <c r="K15" i="7"/>
  <c r="L15" i="7"/>
  <c r="M15" i="7"/>
  <c r="N15" i="7"/>
  <c r="O15" i="7"/>
  <c r="J16" i="7"/>
  <c r="E16" i="7" s="1"/>
  <c r="K16" i="7"/>
  <c r="L16" i="7"/>
  <c r="M16" i="7"/>
  <c r="N16" i="7"/>
  <c r="O16" i="7"/>
  <c r="J17" i="7"/>
  <c r="K17" i="7"/>
  <c r="L17" i="7"/>
  <c r="M17" i="7"/>
  <c r="N17" i="7"/>
  <c r="O17" i="7"/>
  <c r="J18" i="7"/>
  <c r="K18" i="7"/>
  <c r="L18" i="7"/>
  <c r="M18" i="7"/>
  <c r="N18" i="7"/>
  <c r="O18" i="7"/>
  <c r="J19" i="7"/>
  <c r="K19" i="7"/>
  <c r="L19" i="7"/>
  <c r="M19" i="7"/>
  <c r="O19" i="7" s="1"/>
  <c r="N19" i="7"/>
  <c r="J20" i="7"/>
  <c r="E20" i="7" s="1"/>
  <c r="K20" i="7"/>
  <c r="L20" i="7"/>
  <c r="M20" i="7"/>
  <c r="N20" i="7"/>
  <c r="O20" i="7"/>
  <c r="J21" i="7"/>
  <c r="K21" i="7"/>
  <c r="L21" i="7"/>
  <c r="M21" i="7"/>
  <c r="N21" i="7"/>
  <c r="J22" i="7"/>
  <c r="K22" i="7"/>
  <c r="L22" i="7"/>
  <c r="M22" i="7"/>
  <c r="N22" i="7"/>
  <c r="O22" i="7"/>
  <c r="J23" i="7"/>
  <c r="K23" i="7"/>
  <c r="L23" i="7"/>
  <c r="M23" i="7"/>
  <c r="N23" i="7"/>
  <c r="O23" i="7"/>
  <c r="J24" i="7"/>
  <c r="K24" i="7"/>
  <c r="L24" i="7"/>
  <c r="M24" i="7"/>
  <c r="O24" i="7" s="1"/>
  <c r="N24" i="7"/>
  <c r="J25" i="7"/>
  <c r="K25" i="7"/>
  <c r="L25" i="7"/>
  <c r="M25" i="7"/>
  <c r="N25" i="7"/>
  <c r="O25" i="7"/>
  <c r="J26" i="7"/>
  <c r="K26" i="7"/>
  <c r="L26" i="7"/>
  <c r="M26" i="7"/>
  <c r="N26" i="7"/>
  <c r="O26" i="7"/>
  <c r="J27" i="7"/>
  <c r="K27" i="7"/>
  <c r="L27" i="7"/>
  <c r="M27" i="7"/>
  <c r="N27" i="7"/>
  <c r="O27" i="7"/>
  <c r="J28" i="7"/>
  <c r="K28" i="7"/>
  <c r="L28" i="7"/>
  <c r="M28" i="7"/>
  <c r="N28" i="7"/>
  <c r="O28" i="7"/>
  <c r="J29" i="7"/>
  <c r="K29" i="7"/>
  <c r="L29" i="7"/>
  <c r="M29" i="7"/>
  <c r="O29" i="7" s="1"/>
  <c r="N29" i="7"/>
  <c r="J30" i="7"/>
  <c r="K30" i="7"/>
  <c r="L30" i="7"/>
  <c r="M30" i="7"/>
  <c r="N30" i="7"/>
  <c r="O30" i="7"/>
  <c r="J31" i="7"/>
  <c r="K31" i="7"/>
  <c r="L31" i="7"/>
  <c r="M31" i="7"/>
  <c r="N31" i="7"/>
  <c r="O31" i="7"/>
  <c r="J32" i="7"/>
  <c r="K32" i="7"/>
  <c r="L32" i="7"/>
  <c r="M32" i="7"/>
  <c r="O32" i="7" s="1"/>
  <c r="N32" i="7"/>
  <c r="J33" i="7"/>
  <c r="K33" i="7"/>
  <c r="L33" i="7"/>
  <c r="M33" i="7"/>
  <c r="N33" i="7"/>
  <c r="O33" i="7"/>
  <c r="J34" i="7"/>
  <c r="K34" i="7"/>
  <c r="L34" i="7"/>
  <c r="M34" i="7"/>
  <c r="N34" i="7"/>
  <c r="O34" i="7"/>
  <c r="J35" i="7"/>
  <c r="K35" i="7"/>
  <c r="L35" i="7"/>
  <c r="M35" i="7"/>
  <c r="N35" i="7"/>
  <c r="O35" i="7"/>
  <c r="J36" i="7"/>
  <c r="K36" i="7"/>
  <c r="L36" i="7"/>
  <c r="M36" i="7"/>
  <c r="N36" i="7"/>
  <c r="O36" i="7"/>
  <c r="N2" i="7"/>
  <c r="M2" i="7"/>
  <c r="O2" i="7" s="1"/>
  <c r="L2" i="7"/>
  <c r="K2" i="7"/>
  <c r="J2" i="7"/>
  <c r="J3" i="8"/>
  <c r="K3" i="8"/>
  <c r="L3" i="8"/>
  <c r="M3" i="8"/>
  <c r="O3" i="8" s="1"/>
  <c r="N3" i="8"/>
  <c r="J4" i="8"/>
  <c r="K4" i="8"/>
  <c r="L4" i="8"/>
  <c r="M4" i="8"/>
  <c r="O4" i="8" s="1"/>
  <c r="N4" i="8"/>
  <c r="J5" i="8"/>
  <c r="E5" i="8" s="1"/>
  <c r="K5" i="8"/>
  <c r="F5" i="8" s="1"/>
  <c r="L5" i="8"/>
  <c r="M5" i="8"/>
  <c r="O5" i="8" s="1"/>
  <c r="N5" i="8"/>
  <c r="J6" i="8"/>
  <c r="K6" i="8"/>
  <c r="L6" i="8"/>
  <c r="M6" i="8"/>
  <c r="N6" i="8"/>
  <c r="J7" i="8"/>
  <c r="K7" i="8"/>
  <c r="L7" i="8"/>
  <c r="M7" i="8"/>
  <c r="O7" i="8" s="1"/>
  <c r="N7" i="8"/>
  <c r="J8" i="8"/>
  <c r="K8" i="8"/>
  <c r="L8" i="8"/>
  <c r="M8" i="8"/>
  <c r="O8" i="8" s="1"/>
  <c r="N8" i="8"/>
  <c r="J9" i="8"/>
  <c r="K9" i="8"/>
  <c r="L9" i="8"/>
  <c r="M9" i="8"/>
  <c r="N9" i="8"/>
  <c r="J10" i="8"/>
  <c r="K10" i="8"/>
  <c r="L10" i="8"/>
  <c r="M10" i="8"/>
  <c r="N10" i="8"/>
  <c r="J11" i="8"/>
  <c r="K11" i="8"/>
  <c r="L11" i="8"/>
  <c r="M11" i="8"/>
  <c r="O11" i="8" s="1"/>
  <c r="N11" i="8"/>
  <c r="J12" i="8"/>
  <c r="K12" i="8"/>
  <c r="L12" i="8"/>
  <c r="M12" i="8"/>
  <c r="N12" i="8"/>
  <c r="J13" i="8"/>
  <c r="K13" i="8"/>
  <c r="L13" i="8"/>
  <c r="M13" i="8"/>
  <c r="N13" i="8"/>
  <c r="J14" i="8"/>
  <c r="K14" i="8"/>
  <c r="L14" i="8"/>
  <c r="M14" i="8"/>
  <c r="N14" i="8"/>
  <c r="J15" i="8"/>
  <c r="K15" i="8"/>
  <c r="L15" i="8"/>
  <c r="M15" i="8"/>
  <c r="N15" i="8"/>
  <c r="J16" i="8"/>
  <c r="K16" i="8"/>
  <c r="L16" i="8"/>
  <c r="M16" i="8"/>
  <c r="N16" i="8"/>
  <c r="M2" i="8"/>
  <c r="L2" i="8"/>
  <c r="J2" i="8"/>
  <c r="N2" i="8"/>
  <c r="K2" i="8"/>
  <c r="B3" i="8"/>
  <c r="I3" i="8" s="1"/>
  <c r="C3" i="8"/>
  <c r="G3" i="8" s="1"/>
  <c r="D3" i="8"/>
  <c r="H3" i="8" s="1"/>
  <c r="B4" i="8"/>
  <c r="C4" i="8"/>
  <c r="D4" i="8"/>
  <c r="B5" i="8"/>
  <c r="C5" i="8"/>
  <c r="G5" i="8" s="1"/>
  <c r="D5" i="8"/>
  <c r="B6" i="8"/>
  <c r="C6" i="8"/>
  <c r="G6" i="8" s="1"/>
  <c r="D6" i="8"/>
  <c r="F6" i="8" s="1"/>
  <c r="B7" i="8"/>
  <c r="C7" i="8"/>
  <c r="D7" i="8"/>
  <c r="B8" i="8"/>
  <c r="C8" i="8"/>
  <c r="D8" i="8"/>
  <c r="B9" i="8"/>
  <c r="C9" i="8"/>
  <c r="D9" i="8"/>
  <c r="B10" i="8"/>
  <c r="C10" i="8"/>
  <c r="D10" i="8"/>
  <c r="B11" i="8"/>
  <c r="C11" i="8"/>
  <c r="D11" i="8"/>
  <c r="B12" i="8"/>
  <c r="C12" i="8"/>
  <c r="D12" i="8"/>
  <c r="B13" i="8"/>
  <c r="C13" i="8"/>
  <c r="D13" i="8"/>
  <c r="B14" i="8"/>
  <c r="C14" i="8"/>
  <c r="D14" i="8"/>
  <c r="B15" i="8"/>
  <c r="C15" i="8"/>
  <c r="D15" i="8"/>
  <c r="B16" i="8"/>
  <c r="C16" i="8"/>
  <c r="D16" i="8"/>
  <c r="D2" i="8"/>
  <c r="C2" i="8"/>
  <c r="B2" i="8"/>
  <c r="I16" i="8"/>
  <c r="G16" i="8"/>
  <c r="E16" i="8"/>
  <c r="I15" i="8"/>
  <c r="H15" i="8"/>
  <c r="I6" i="8"/>
  <c r="H6" i="8"/>
  <c r="I5" i="8"/>
  <c r="H5" i="8"/>
  <c r="E2" i="8"/>
  <c r="I60" i="3"/>
  <c r="H60" i="3"/>
  <c r="G60" i="3"/>
  <c r="F60" i="3"/>
  <c r="E60" i="3"/>
  <c r="I59" i="3"/>
  <c r="H59" i="3"/>
  <c r="G59" i="3"/>
  <c r="F59" i="3"/>
  <c r="E59" i="3"/>
  <c r="I58" i="3"/>
  <c r="H58" i="3"/>
  <c r="G58" i="3"/>
  <c r="F58" i="3"/>
  <c r="E58" i="3"/>
  <c r="I57" i="3"/>
  <c r="H57" i="3"/>
  <c r="G57" i="3"/>
  <c r="F57" i="3"/>
  <c r="E57" i="3"/>
  <c r="I56" i="3"/>
  <c r="H56" i="3"/>
  <c r="G56" i="3"/>
  <c r="F56" i="3"/>
  <c r="E56" i="3"/>
  <c r="I55" i="3"/>
  <c r="H55" i="3"/>
  <c r="G55" i="3"/>
  <c r="F55" i="3"/>
  <c r="E55" i="3"/>
  <c r="I54" i="3"/>
  <c r="H54" i="3"/>
  <c r="G54" i="3"/>
  <c r="F54" i="3"/>
  <c r="E54" i="3"/>
  <c r="I53" i="3"/>
  <c r="H53" i="3"/>
  <c r="G53" i="3"/>
  <c r="F53" i="3"/>
  <c r="E53" i="3"/>
  <c r="I52" i="3"/>
  <c r="H52" i="3"/>
  <c r="G52" i="3"/>
  <c r="F52" i="3"/>
  <c r="E52" i="3"/>
  <c r="I51" i="3"/>
  <c r="H51" i="3"/>
  <c r="G51" i="3"/>
  <c r="F51" i="3"/>
  <c r="E51" i="3"/>
  <c r="I50" i="3"/>
  <c r="H50" i="3"/>
  <c r="G50" i="3"/>
  <c r="F50" i="3"/>
  <c r="E50" i="3"/>
  <c r="I49" i="3"/>
  <c r="H49" i="3"/>
  <c r="G49" i="3"/>
  <c r="F49" i="3"/>
  <c r="E49" i="3"/>
  <c r="I48" i="3"/>
  <c r="H48" i="3"/>
  <c r="G48" i="3"/>
  <c r="F48" i="3"/>
  <c r="E48" i="3"/>
  <c r="I47" i="3"/>
  <c r="H47" i="3"/>
  <c r="G47" i="3"/>
  <c r="F47" i="3"/>
  <c r="E47" i="3"/>
  <c r="I46" i="3"/>
  <c r="H46" i="3"/>
  <c r="G46" i="3"/>
  <c r="F46" i="3"/>
  <c r="E46" i="3"/>
  <c r="I45" i="3"/>
  <c r="H45" i="3"/>
  <c r="G45" i="3"/>
  <c r="F45" i="3"/>
  <c r="E45" i="3"/>
  <c r="I44" i="3"/>
  <c r="H44" i="3"/>
  <c r="G44" i="3"/>
  <c r="F44" i="3"/>
  <c r="E44" i="3"/>
  <c r="I43" i="3"/>
  <c r="H43" i="3"/>
  <c r="G43" i="3"/>
  <c r="F43" i="3"/>
  <c r="E43" i="3"/>
  <c r="I42" i="3"/>
  <c r="H42" i="3"/>
  <c r="G42" i="3"/>
  <c r="F42" i="3"/>
  <c r="E42" i="3"/>
  <c r="I41" i="3"/>
  <c r="H41" i="3"/>
  <c r="G41" i="3"/>
  <c r="F41" i="3"/>
  <c r="E41" i="3"/>
  <c r="I40" i="3"/>
  <c r="H40" i="3"/>
  <c r="G40" i="3"/>
  <c r="F40" i="3"/>
  <c r="E40" i="3"/>
  <c r="I39" i="3"/>
  <c r="H39" i="3"/>
  <c r="G39" i="3"/>
  <c r="F39" i="3"/>
  <c r="E39" i="3"/>
  <c r="I38" i="3"/>
  <c r="H38" i="3"/>
  <c r="G38" i="3"/>
  <c r="F38" i="3"/>
  <c r="E38" i="3"/>
  <c r="I37" i="3"/>
  <c r="H37" i="3"/>
  <c r="G37" i="3"/>
  <c r="F37" i="3"/>
  <c r="E37" i="3"/>
  <c r="I36" i="3"/>
  <c r="H36" i="3"/>
  <c r="G36" i="3"/>
  <c r="F36" i="3"/>
  <c r="E36" i="3"/>
  <c r="I35" i="3"/>
  <c r="H35" i="3"/>
  <c r="G35" i="3"/>
  <c r="F35" i="3"/>
  <c r="E35" i="3"/>
  <c r="I34" i="3"/>
  <c r="H34" i="3"/>
  <c r="G34" i="3"/>
  <c r="F34" i="3"/>
  <c r="E34" i="3"/>
  <c r="I33" i="3"/>
  <c r="H33" i="3"/>
  <c r="G33" i="3"/>
  <c r="F33" i="3"/>
  <c r="E33" i="3"/>
  <c r="I32" i="3"/>
  <c r="H32" i="3"/>
  <c r="G32" i="3"/>
  <c r="F32" i="3"/>
  <c r="E32" i="3"/>
  <c r="I31" i="3"/>
  <c r="H31" i="3"/>
  <c r="G31" i="3"/>
  <c r="F31" i="3"/>
  <c r="E31" i="3"/>
  <c r="I30" i="3"/>
  <c r="H30" i="3"/>
  <c r="G30" i="3"/>
  <c r="F30" i="3"/>
  <c r="E30" i="3"/>
  <c r="I29" i="3"/>
  <c r="H29" i="3"/>
  <c r="G29" i="3"/>
  <c r="F29" i="3"/>
  <c r="E29" i="3"/>
  <c r="I28" i="3"/>
  <c r="H28" i="3"/>
  <c r="G28" i="3"/>
  <c r="F28" i="3"/>
  <c r="E28" i="3"/>
  <c r="I27" i="3"/>
  <c r="H27" i="3"/>
  <c r="G27" i="3"/>
  <c r="F27" i="3"/>
  <c r="E27" i="3"/>
  <c r="I26" i="3"/>
  <c r="H26" i="3"/>
  <c r="G26" i="3"/>
  <c r="F26" i="3"/>
  <c r="E26" i="3"/>
  <c r="I25" i="3"/>
  <c r="H25" i="3"/>
  <c r="G25" i="3"/>
  <c r="F25" i="3"/>
  <c r="E25" i="3"/>
  <c r="I24" i="3"/>
  <c r="H24" i="3"/>
  <c r="G24" i="3"/>
  <c r="F24" i="3"/>
  <c r="E24" i="3"/>
  <c r="I23" i="3"/>
  <c r="H23" i="3"/>
  <c r="G23" i="3"/>
  <c r="F23" i="3"/>
  <c r="E23" i="3"/>
  <c r="I22" i="3"/>
  <c r="H22" i="3"/>
  <c r="G22" i="3"/>
  <c r="F22" i="3"/>
  <c r="E22" i="3"/>
  <c r="I21" i="3"/>
  <c r="H21" i="3"/>
  <c r="G21" i="3"/>
  <c r="F21" i="3"/>
  <c r="E21" i="3"/>
  <c r="I20" i="3"/>
  <c r="H20" i="3"/>
  <c r="G20" i="3"/>
  <c r="F20" i="3"/>
  <c r="E20" i="3"/>
  <c r="I19" i="3"/>
  <c r="H19" i="3"/>
  <c r="G19" i="3"/>
  <c r="F19" i="3"/>
  <c r="E19" i="3"/>
  <c r="I18" i="3"/>
  <c r="H18" i="3"/>
  <c r="G18" i="3"/>
  <c r="F18" i="3"/>
  <c r="E18" i="3"/>
  <c r="I17" i="3"/>
  <c r="H17" i="3"/>
  <c r="G17" i="3"/>
  <c r="F17" i="3"/>
  <c r="E17" i="3"/>
  <c r="I16" i="3"/>
  <c r="H16" i="3"/>
  <c r="G16" i="3"/>
  <c r="F16" i="3"/>
  <c r="E16" i="3"/>
  <c r="I15" i="3"/>
  <c r="H15" i="3"/>
  <c r="G15" i="3"/>
  <c r="F15" i="3"/>
  <c r="E15" i="3"/>
  <c r="I14" i="3"/>
  <c r="H14" i="3"/>
  <c r="G14" i="3"/>
  <c r="F14" i="3"/>
  <c r="E14" i="3"/>
  <c r="I13" i="3"/>
  <c r="H13" i="3"/>
  <c r="G13" i="3"/>
  <c r="F13" i="3"/>
  <c r="E13" i="3"/>
  <c r="I12" i="3"/>
  <c r="H12" i="3"/>
  <c r="G12" i="3"/>
  <c r="F12" i="3"/>
  <c r="E12" i="3"/>
  <c r="I11" i="3"/>
  <c r="H11" i="3"/>
  <c r="G11" i="3"/>
  <c r="F11" i="3"/>
  <c r="E11" i="3"/>
  <c r="I10" i="3"/>
  <c r="H10" i="3"/>
  <c r="G10" i="3"/>
  <c r="F10" i="3"/>
  <c r="E10" i="3"/>
  <c r="I9" i="3"/>
  <c r="H9" i="3"/>
  <c r="G9" i="3"/>
  <c r="F9" i="3"/>
  <c r="E9" i="3"/>
  <c r="I8" i="3"/>
  <c r="H8" i="3"/>
  <c r="G8" i="3"/>
  <c r="F8" i="3"/>
  <c r="E8" i="3"/>
  <c r="I7" i="3"/>
  <c r="H7" i="3"/>
  <c r="G7" i="3"/>
  <c r="F7" i="3"/>
  <c r="E7" i="3"/>
  <c r="I6" i="3"/>
  <c r="H6" i="3"/>
  <c r="G6" i="3"/>
  <c r="F6" i="3"/>
  <c r="E6" i="3"/>
  <c r="I5" i="3"/>
  <c r="H5" i="3"/>
  <c r="G5" i="3"/>
  <c r="F5" i="3"/>
  <c r="E5" i="3"/>
  <c r="I4" i="3"/>
  <c r="H4" i="3"/>
  <c r="G4" i="3"/>
  <c r="F4" i="3"/>
  <c r="E4" i="3"/>
  <c r="I3" i="3"/>
  <c r="H3" i="3"/>
  <c r="G3" i="3"/>
  <c r="F3" i="3"/>
  <c r="E3" i="3"/>
  <c r="I2" i="3"/>
  <c r="H2" i="3"/>
  <c r="G2" i="3"/>
  <c r="F2" i="3"/>
  <c r="E2" i="3"/>
  <c r="I16" i="2"/>
  <c r="H16" i="2"/>
  <c r="G16" i="2"/>
  <c r="F16" i="2"/>
  <c r="E16" i="2"/>
  <c r="I15" i="2"/>
  <c r="H15" i="2"/>
  <c r="G15" i="2"/>
  <c r="F15" i="2"/>
  <c r="E15" i="2"/>
  <c r="I14" i="2"/>
  <c r="H14" i="2"/>
  <c r="G14" i="2"/>
  <c r="F14" i="2"/>
  <c r="E14" i="2"/>
  <c r="I13" i="2"/>
  <c r="H13" i="2"/>
  <c r="G13" i="2"/>
  <c r="F13" i="2"/>
  <c r="E13" i="2"/>
  <c r="I12" i="2"/>
  <c r="H12" i="2"/>
  <c r="G12" i="2"/>
  <c r="F12" i="2"/>
  <c r="E12" i="2"/>
  <c r="I11" i="2"/>
  <c r="H11" i="2"/>
  <c r="G11" i="2"/>
  <c r="F11" i="2"/>
  <c r="E11" i="2"/>
  <c r="I10" i="2"/>
  <c r="H10" i="2"/>
  <c r="G10" i="2"/>
  <c r="F10" i="2"/>
  <c r="E10" i="2"/>
  <c r="I9" i="2"/>
  <c r="H9" i="2"/>
  <c r="G9" i="2"/>
  <c r="F9" i="2"/>
  <c r="E9" i="2"/>
  <c r="I8" i="2"/>
  <c r="H8" i="2"/>
  <c r="G8" i="2"/>
  <c r="F8" i="2"/>
  <c r="E8" i="2"/>
  <c r="I7" i="2"/>
  <c r="H7" i="2"/>
  <c r="G7" i="2"/>
  <c r="F7" i="2"/>
  <c r="E7" i="2"/>
  <c r="I6" i="2"/>
  <c r="H6" i="2"/>
  <c r="G6" i="2"/>
  <c r="F6" i="2"/>
  <c r="E6" i="2"/>
  <c r="I5" i="2"/>
  <c r="H5" i="2"/>
  <c r="G5" i="2"/>
  <c r="F5" i="2"/>
  <c r="E5" i="2"/>
  <c r="I4" i="2"/>
  <c r="H4" i="2"/>
  <c r="G4" i="2"/>
  <c r="F4" i="2"/>
  <c r="E4" i="2"/>
  <c r="I3" i="2"/>
  <c r="H3" i="2"/>
  <c r="G3" i="2"/>
  <c r="F3" i="2"/>
  <c r="E3" i="2"/>
  <c r="I2" i="2"/>
  <c r="H2" i="2"/>
  <c r="G2" i="2"/>
  <c r="F2" i="2"/>
  <c r="E2" i="2"/>
  <c r="E3" i="4"/>
  <c r="F3" i="4"/>
  <c r="G3" i="4"/>
  <c r="H3" i="4"/>
  <c r="I3" i="4"/>
  <c r="E4" i="4"/>
  <c r="F4" i="4"/>
  <c r="G4" i="4"/>
  <c r="H4" i="4"/>
  <c r="I4" i="4"/>
  <c r="E5" i="4"/>
  <c r="F5" i="4"/>
  <c r="G5" i="4"/>
  <c r="H5" i="4"/>
  <c r="I5" i="4"/>
  <c r="E6" i="4"/>
  <c r="F6" i="4"/>
  <c r="G6" i="4"/>
  <c r="H6" i="4"/>
  <c r="I6" i="4"/>
  <c r="E7" i="4"/>
  <c r="F7" i="4"/>
  <c r="G7" i="4"/>
  <c r="H7" i="4"/>
  <c r="I7" i="4"/>
  <c r="E8" i="4"/>
  <c r="F8" i="4"/>
  <c r="G8" i="4"/>
  <c r="H8" i="4"/>
  <c r="I8" i="4"/>
  <c r="E9" i="4"/>
  <c r="F9" i="4"/>
  <c r="G9" i="4"/>
  <c r="H9" i="4"/>
  <c r="I9" i="4"/>
  <c r="E10" i="4"/>
  <c r="F10" i="4"/>
  <c r="G10" i="4"/>
  <c r="H10" i="4"/>
  <c r="I10" i="4"/>
  <c r="E11" i="4"/>
  <c r="F11" i="4"/>
  <c r="G11" i="4"/>
  <c r="H11" i="4"/>
  <c r="I11" i="4"/>
  <c r="E12" i="4"/>
  <c r="F12" i="4"/>
  <c r="G12" i="4"/>
  <c r="H12" i="4"/>
  <c r="I12" i="4"/>
  <c r="E13" i="4"/>
  <c r="F13" i="4"/>
  <c r="G13" i="4"/>
  <c r="H13" i="4"/>
  <c r="I13" i="4"/>
  <c r="E14" i="4"/>
  <c r="F14" i="4"/>
  <c r="G14" i="4"/>
  <c r="H14" i="4"/>
  <c r="I14" i="4"/>
  <c r="E15" i="4"/>
  <c r="F15" i="4"/>
  <c r="G15" i="4"/>
  <c r="H15" i="4"/>
  <c r="I15" i="4"/>
  <c r="E16" i="4"/>
  <c r="F16" i="4"/>
  <c r="G16" i="4"/>
  <c r="H16" i="4"/>
  <c r="I16" i="4"/>
  <c r="E17" i="4"/>
  <c r="F17" i="4"/>
  <c r="G17" i="4"/>
  <c r="H17" i="4"/>
  <c r="I17" i="4"/>
  <c r="E18" i="4"/>
  <c r="F18" i="4"/>
  <c r="G18" i="4"/>
  <c r="H18" i="4"/>
  <c r="I18" i="4"/>
  <c r="E19" i="4"/>
  <c r="F19" i="4"/>
  <c r="G19" i="4"/>
  <c r="H19" i="4"/>
  <c r="I19" i="4"/>
  <c r="E20" i="4"/>
  <c r="F20" i="4"/>
  <c r="G20" i="4"/>
  <c r="H20" i="4"/>
  <c r="I20" i="4"/>
  <c r="E21" i="4"/>
  <c r="F21" i="4"/>
  <c r="G21" i="4"/>
  <c r="H21" i="4"/>
  <c r="I21" i="4"/>
  <c r="E22" i="4"/>
  <c r="F22" i="4"/>
  <c r="G22" i="4"/>
  <c r="H22" i="4"/>
  <c r="I22" i="4"/>
  <c r="E23" i="4"/>
  <c r="F23" i="4"/>
  <c r="G23" i="4"/>
  <c r="H23" i="4"/>
  <c r="I23" i="4"/>
  <c r="E24" i="4"/>
  <c r="F24" i="4"/>
  <c r="G24" i="4"/>
  <c r="H24" i="4"/>
  <c r="I24" i="4"/>
  <c r="E25" i="4"/>
  <c r="F25" i="4"/>
  <c r="G25" i="4"/>
  <c r="H25" i="4"/>
  <c r="I25" i="4"/>
  <c r="E26" i="4"/>
  <c r="F26" i="4"/>
  <c r="G26" i="4"/>
  <c r="H26" i="4"/>
  <c r="I26" i="4"/>
  <c r="E27" i="4"/>
  <c r="F27" i="4"/>
  <c r="G27" i="4"/>
  <c r="H27" i="4"/>
  <c r="I27" i="4"/>
  <c r="E28" i="4"/>
  <c r="F28" i="4"/>
  <c r="G28" i="4"/>
  <c r="H28" i="4"/>
  <c r="I28" i="4"/>
  <c r="E29" i="4"/>
  <c r="F29" i="4"/>
  <c r="G29" i="4"/>
  <c r="H29" i="4"/>
  <c r="I29" i="4"/>
  <c r="E30" i="4"/>
  <c r="F30" i="4"/>
  <c r="G30" i="4"/>
  <c r="H30" i="4"/>
  <c r="I30" i="4"/>
  <c r="I2" i="4"/>
  <c r="H2" i="4"/>
  <c r="G2" i="4"/>
  <c r="F2" i="4"/>
  <c r="E2" i="4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2" i="7"/>
  <c r="C3" i="7"/>
  <c r="G3" i="7" s="1"/>
  <c r="C4" i="7"/>
  <c r="C5" i="7"/>
  <c r="E5" i="7" s="1"/>
  <c r="C6" i="7"/>
  <c r="E6" i="7" s="1"/>
  <c r="C7" i="7"/>
  <c r="E7" i="7" s="1"/>
  <c r="C8" i="7"/>
  <c r="C9" i="7"/>
  <c r="C10" i="7"/>
  <c r="C11" i="7"/>
  <c r="C12" i="7"/>
  <c r="C13" i="7"/>
  <c r="G13" i="7" s="1"/>
  <c r="C14" i="7"/>
  <c r="G14" i="7" s="1"/>
  <c r="C15" i="7"/>
  <c r="C16" i="7"/>
  <c r="C17" i="7"/>
  <c r="C18" i="7"/>
  <c r="C19" i="7"/>
  <c r="C20" i="7"/>
  <c r="C21" i="7"/>
  <c r="C22" i="7"/>
  <c r="C23" i="7"/>
  <c r="E23" i="7" s="1"/>
  <c r="C24" i="7"/>
  <c r="C25" i="7"/>
  <c r="E25" i="7" s="1"/>
  <c r="C26" i="7"/>
  <c r="G26" i="7" s="1"/>
  <c r="C27" i="7"/>
  <c r="G27" i="7" s="1"/>
  <c r="C28" i="7"/>
  <c r="C29" i="7"/>
  <c r="G29" i="7" s="1"/>
  <c r="C30" i="7"/>
  <c r="G30" i="7" s="1"/>
  <c r="C31" i="7"/>
  <c r="C32" i="7"/>
  <c r="C33" i="7"/>
  <c r="C34" i="7"/>
  <c r="C35" i="7"/>
  <c r="E35" i="7" s="1"/>
  <c r="C36" i="7"/>
  <c r="C2" i="7"/>
  <c r="B3" i="7"/>
  <c r="I3" i="7" s="1"/>
  <c r="B4" i="7"/>
  <c r="B5" i="7"/>
  <c r="I5" i="7" s="1"/>
  <c r="B6" i="7"/>
  <c r="B7" i="7"/>
  <c r="G7" i="7" s="1"/>
  <c r="B8" i="7"/>
  <c r="B9" i="7"/>
  <c r="I9" i="7" s="1"/>
  <c r="B10" i="7"/>
  <c r="I10" i="7" s="1"/>
  <c r="B11" i="7"/>
  <c r="I11" i="7" s="1"/>
  <c r="B12" i="7"/>
  <c r="B13" i="7"/>
  <c r="B14" i="7"/>
  <c r="B15" i="7"/>
  <c r="B16" i="7"/>
  <c r="B17" i="7"/>
  <c r="B18" i="7"/>
  <c r="B19" i="7"/>
  <c r="I19" i="7" s="1"/>
  <c r="B20" i="7"/>
  <c r="B21" i="7"/>
  <c r="I21" i="7" s="1"/>
  <c r="B22" i="7"/>
  <c r="I22" i="7" s="1"/>
  <c r="B23" i="7"/>
  <c r="B24" i="7"/>
  <c r="B25" i="7"/>
  <c r="B26" i="7"/>
  <c r="I26" i="7" s="1"/>
  <c r="B27" i="7"/>
  <c r="I27" i="7" s="1"/>
  <c r="B28" i="7"/>
  <c r="B29" i="7"/>
  <c r="B30" i="7"/>
  <c r="B31" i="7"/>
  <c r="B32" i="7"/>
  <c r="I32" i="7" s="1"/>
  <c r="B33" i="7"/>
  <c r="B34" i="7"/>
  <c r="I34" i="7" s="1"/>
  <c r="B35" i="7"/>
  <c r="G35" i="7" s="1"/>
  <c r="B36" i="7"/>
  <c r="I36" i="7" s="1"/>
  <c r="B2" i="7"/>
  <c r="E84" i="12"/>
  <c r="F84" i="12"/>
  <c r="G84" i="12"/>
  <c r="H84" i="12"/>
  <c r="I84" i="12"/>
  <c r="E85" i="12"/>
  <c r="F85" i="12"/>
  <c r="G85" i="12"/>
  <c r="H85" i="12"/>
  <c r="I85" i="12"/>
  <c r="E86" i="12"/>
  <c r="F86" i="12"/>
  <c r="G86" i="12"/>
  <c r="H86" i="12"/>
  <c r="I86" i="12"/>
  <c r="E87" i="12"/>
  <c r="F87" i="12"/>
  <c r="G87" i="12"/>
  <c r="H87" i="12"/>
  <c r="I87" i="12"/>
  <c r="E88" i="12"/>
  <c r="F88" i="12"/>
  <c r="G88" i="12"/>
  <c r="H88" i="12"/>
  <c r="I88" i="12"/>
  <c r="E89" i="12"/>
  <c r="F89" i="12"/>
  <c r="G89" i="12"/>
  <c r="H89" i="12"/>
  <c r="I89" i="12"/>
  <c r="E90" i="12"/>
  <c r="F90" i="12"/>
  <c r="G90" i="12"/>
  <c r="H90" i="12"/>
  <c r="I90" i="12"/>
  <c r="E91" i="12"/>
  <c r="F91" i="12"/>
  <c r="G91" i="12"/>
  <c r="H91" i="12"/>
  <c r="I91" i="12"/>
  <c r="E92" i="12"/>
  <c r="F92" i="12"/>
  <c r="G92" i="12"/>
  <c r="H92" i="12"/>
  <c r="I92" i="12"/>
  <c r="E93" i="12"/>
  <c r="F93" i="12"/>
  <c r="G93" i="12"/>
  <c r="H93" i="12"/>
  <c r="I93" i="12"/>
  <c r="E94" i="12"/>
  <c r="F94" i="12"/>
  <c r="G94" i="12"/>
  <c r="H94" i="12"/>
  <c r="I94" i="12"/>
  <c r="E95" i="12"/>
  <c r="F95" i="12"/>
  <c r="G95" i="12"/>
  <c r="H95" i="12"/>
  <c r="I95" i="12"/>
  <c r="E96" i="12"/>
  <c r="F96" i="12"/>
  <c r="G96" i="12"/>
  <c r="H96" i="12"/>
  <c r="I96" i="12"/>
  <c r="E97" i="12"/>
  <c r="F97" i="12"/>
  <c r="G97" i="12"/>
  <c r="H97" i="12"/>
  <c r="I97" i="12"/>
  <c r="E98" i="12"/>
  <c r="F98" i="12"/>
  <c r="G98" i="12"/>
  <c r="H98" i="12"/>
  <c r="I98" i="12"/>
  <c r="E99" i="12"/>
  <c r="F99" i="12"/>
  <c r="G99" i="12"/>
  <c r="H99" i="12"/>
  <c r="I99" i="12"/>
  <c r="E100" i="12"/>
  <c r="F100" i="12"/>
  <c r="G100" i="12"/>
  <c r="H100" i="12"/>
  <c r="I100" i="12"/>
  <c r="E101" i="12"/>
  <c r="F101" i="12"/>
  <c r="G101" i="12"/>
  <c r="H101" i="12"/>
  <c r="I101" i="12"/>
  <c r="E102" i="12"/>
  <c r="F102" i="12"/>
  <c r="G102" i="12"/>
  <c r="H102" i="12"/>
  <c r="I102" i="12"/>
  <c r="E103" i="12"/>
  <c r="F103" i="12"/>
  <c r="G103" i="12"/>
  <c r="H103" i="12"/>
  <c r="I103" i="12"/>
  <c r="E104" i="12"/>
  <c r="F104" i="12"/>
  <c r="G104" i="12"/>
  <c r="H104" i="12"/>
  <c r="I104" i="12"/>
  <c r="E105" i="12"/>
  <c r="F105" i="12"/>
  <c r="G105" i="12"/>
  <c r="H105" i="12"/>
  <c r="I105" i="12"/>
  <c r="E106" i="12"/>
  <c r="F106" i="12"/>
  <c r="G106" i="12"/>
  <c r="H106" i="12"/>
  <c r="I106" i="12"/>
  <c r="E107" i="12"/>
  <c r="F107" i="12"/>
  <c r="G107" i="12"/>
  <c r="H107" i="12"/>
  <c r="I107" i="12"/>
  <c r="E108" i="12"/>
  <c r="F108" i="12"/>
  <c r="G108" i="12"/>
  <c r="H108" i="12"/>
  <c r="I108" i="12"/>
  <c r="E109" i="12"/>
  <c r="F109" i="12"/>
  <c r="G109" i="12"/>
  <c r="H109" i="12"/>
  <c r="I109" i="12"/>
  <c r="E110" i="12"/>
  <c r="F110" i="12"/>
  <c r="G110" i="12"/>
  <c r="H110" i="12"/>
  <c r="I110" i="12"/>
  <c r="E111" i="12"/>
  <c r="F111" i="12"/>
  <c r="G111" i="12"/>
  <c r="H111" i="12"/>
  <c r="I111" i="12"/>
  <c r="E112" i="12"/>
  <c r="F112" i="12"/>
  <c r="G112" i="12"/>
  <c r="H112" i="12"/>
  <c r="I112" i="12"/>
  <c r="E113" i="12"/>
  <c r="F113" i="12"/>
  <c r="G113" i="12"/>
  <c r="H113" i="12"/>
  <c r="I113" i="12"/>
  <c r="E114" i="12"/>
  <c r="F114" i="12"/>
  <c r="G114" i="12"/>
  <c r="H114" i="12"/>
  <c r="I114" i="12"/>
  <c r="E115" i="12"/>
  <c r="F115" i="12"/>
  <c r="G115" i="12"/>
  <c r="H115" i="12"/>
  <c r="I115" i="12"/>
  <c r="E116" i="12"/>
  <c r="F116" i="12"/>
  <c r="G116" i="12"/>
  <c r="H116" i="12"/>
  <c r="I116" i="12"/>
  <c r="E117" i="12"/>
  <c r="F117" i="12"/>
  <c r="G117" i="12"/>
  <c r="H117" i="12"/>
  <c r="I117" i="12"/>
  <c r="E118" i="12"/>
  <c r="F118" i="12"/>
  <c r="G118" i="12"/>
  <c r="H118" i="12"/>
  <c r="I118" i="12"/>
  <c r="E119" i="12"/>
  <c r="F119" i="12"/>
  <c r="G119" i="12"/>
  <c r="H119" i="12"/>
  <c r="I119" i="12"/>
  <c r="E120" i="12"/>
  <c r="F120" i="12"/>
  <c r="G120" i="12"/>
  <c r="H120" i="12"/>
  <c r="I120" i="12"/>
  <c r="E121" i="12"/>
  <c r="F121" i="12"/>
  <c r="G121" i="12"/>
  <c r="H121" i="12"/>
  <c r="I121" i="12"/>
  <c r="E122" i="12"/>
  <c r="F122" i="12"/>
  <c r="G122" i="12"/>
  <c r="H122" i="12"/>
  <c r="I122" i="12"/>
  <c r="E123" i="12"/>
  <c r="F123" i="12"/>
  <c r="G123" i="12"/>
  <c r="H123" i="12"/>
  <c r="I123" i="12"/>
  <c r="E124" i="12"/>
  <c r="F124" i="12"/>
  <c r="G124" i="12"/>
  <c r="H124" i="12"/>
  <c r="I124" i="12"/>
  <c r="E125" i="12"/>
  <c r="F125" i="12"/>
  <c r="G125" i="12"/>
  <c r="H125" i="12"/>
  <c r="I125" i="12"/>
  <c r="E126" i="12"/>
  <c r="F126" i="12"/>
  <c r="G126" i="12"/>
  <c r="H126" i="12"/>
  <c r="I126" i="12"/>
  <c r="E127" i="12"/>
  <c r="F127" i="12"/>
  <c r="G127" i="12"/>
  <c r="H127" i="12"/>
  <c r="I127" i="12"/>
  <c r="E128" i="12"/>
  <c r="F128" i="12"/>
  <c r="G128" i="12"/>
  <c r="H128" i="12"/>
  <c r="I128" i="12"/>
  <c r="E129" i="12"/>
  <c r="F129" i="12"/>
  <c r="G129" i="12"/>
  <c r="H129" i="12"/>
  <c r="I129" i="12"/>
  <c r="E130" i="12"/>
  <c r="F130" i="12"/>
  <c r="G130" i="12"/>
  <c r="H130" i="12"/>
  <c r="I130" i="12"/>
  <c r="E131" i="12"/>
  <c r="F131" i="12"/>
  <c r="G131" i="12"/>
  <c r="H131" i="12"/>
  <c r="I131" i="12"/>
  <c r="E132" i="12"/>
  <c r="F132" i="12"/>
  <c r="G132" i="12"/>
  <c r="H132" i="12"/>
  <c r="I132" i="12"/>
  <c r="E133" i="12"/>
  <c r="F133" i="12"/>
  <c r="G133" i="12"/>
  <c r="H133" i="12"/>
  <c r="I133" i="12"/>
  <c r="E134" i="12"/>
  <c r="F134" i="12"/>
  <c r="G134" i="12"/>
  <c r="H134" i="12"/>
  <c r="I134" i="12"/>
  <c r="E135" i="12"/>
  <c r="F135" i="12"/>
  <c r="G135" i="12"/>
  <c r="H135" i="12"/>
  <c r="I135" i="12"/>
  <c r="E136" i="12"/>
  <c r="F136" i="12"/>
  <c r="G136" i="12"/>
  <c r="H136" i="12"/>
  <c r="I136" i="12"/>
  <c r="E137" i="12"/>
  <c r="F137" i="12"/>
  <c r="G137" i="12"/>
  <c r="H137" i="12"/>
  <c r="I137" i="12"/>
  <c r="E138" i="12"/>
  <c r="F138" i="12"/>
  <c r="G138" i="12"/>
  <c r="H138" i="12"/>
  <c r="I138" i="12"/>
  <c r="E139" i="12"/>
  <c r="F139" i="12"/>
  <c r="G139" i="12"/>
  <c r="H139" i="12"/>
  <c r="I139" i="12"/>
  <c r="E140" i="12"/>
  <c r="F140" i="12"/>
  <c r="G140" i="12"/>
  <c r="H140" i="12"/>
  <c r="I140" i="12"/>
  <c r="E141" i="12"/>
  <c r="F141" i="12"/>
  <c r="G141" i="12"/>
  <c r="H141" i="12"/>
  <c r="I141" i="12"/>
  <c r="E142" i="12"/>
  <c r="F142" i="12"/>
  <c r="G142" i="12"/>
  <c r="H142" i="12"/>
  <c r="I142" i="12"/>
  <c r="E143" i="12"/>
  <c r="F143" i="12"/>
  <c r="G143" i="12"/>
  <c r="H143" i="12"/>
  <c r="I143" i="12"/>
  <c r="E144" i="12"/>
  <c r="F144" i="12"/>
  <c r="G144" i="12"/>
  <c r="H144" i="12"/>
  <c r="I144" i="12"/>
  <c r="E145" i="12"/>
  <c r="F145" i="12"/>
  <c r="G145" i="12"/>
  <c r="H145" i="12"/>
  <c r="I145" i="12"/>
  <c r="E146" i="12"/>
  <c r="F146" i="12"/>
  <c r="G146" i="12"/>
  <c r="H146" i="12"/>
  <c r="I146" i="12"/>
  <c r="E147" i="12"/>
  <c r="F147" i="12"/>
  <c r="G147" i="12"/>
  <c r="H147" i="12"/>
  <c r="I147" i="12"/>
  <c r="I83" i="12"/>
  <c r="H83" i="12"/>
  <c r="G83" i="12"/>
  <c r="F83" i="12"/>
  <c r="E83" i="12"/>
  <c r="E3" i="12"/>
  <c r="F3" i="12"/>
  <c r="G3" i="12"/>
  <c r="H3" i="12"/>
  <c r="I3" i="12"/>
  <c r="E4" i="12"/>
  <c r="F4" i="12"/>
  <c r="G4" i="12"/>
  <c r="H4" i="12"/>
  <c r="I4" i="12"/>
  <c r="E5" i="12"/>
  <c r="F5" i="12"/>
  <c r="G5" i="12"/>
  <c r="H5" i="12"/>
  <c r="I5" i="12"/>
  <c r="E6" i="12"/>
  <c r="F6" i="12"/>
  <c r="G6" i="12"/>
  <c r="H6" i="12"/>
  <c r="I6" i="12"/>
  <c r="E7" i="12"/>
  <c r="F7" i="12"/>
  <c r="G7" i="12"/>
  <c r="H7" i="12"/>
  <c r="I7" i="12"/>
  <c r="E8" i="12"/>
  <c r="F8" i="12"/>
  <c r="G8" i="12"/>
  <c r="H8" i="12"/>
  <c r="I8" i="12"/>
  <c r="E9" i="12"/>
  <c r="F9" i="12"/>
  <c r="G9" i="12"/>
  <c r="H9" i="12"/>
  <c r="I9" i="12"/>
  <c r="E10" i="12"/>
  <c r="F10" i="12"/>
  <c r="G10" i="12"/>
  <c r="H10" i="12"/>
  <c r="I10" i="12"/>
  <c r="E11" i="12"/>
  <c r="F11" i="12"/>
  <c r="G11" i="12"/>
  <c r="H11" i="12"/>
  <c r="I11" i="12"/>
  <c r="E12" i="12"/>
  <c r="F12" i="12"/>
  <c r="G12" i="12"/>
  <c r="H12" i="12"/>
  <c r="I12" i="12"/>
  <c r="E13" i="12"/>
  <c r="F13" i="12"/>
  <c r="G13" i="12"/>
  <c r="H13" i="12"/>
  <c r="I13" i="12"/>
  <c r="E14" i="12"/>
  <c r="F14" i="12"/>
  <c r="G14" i="12"/>
  <c r="H14" i="12"/>
  <c r="I14" i="12"/>
  <c r="E15" i="12"/>
  <c r="F15" i="12"/>
  <c r="G15" i="12"/>
  <c r="H15" i="12"/>
  <c r="I15" i="12"/>
  <c r="E16" i="12"/>
  <c r="F16" i="12"/>
  <c r="G16" i="12"/>
  <c r="H16" i="12"/>
  <c r="I16" i="12"/>
  <c r="E17" i="12"/>
  <c r="F17" i="12"/>
  <c r="G17" i="12"/>
  <c r="H17" i="12"/>
  <c r="I17" i="12"/>
  <c r="E18" i="12"/>
  <c r="F18" i="12"/>
  <c r="G18" i="12"/>
  <c r="H18" i="12"/>
  <c r="I18" i="12"/>
  <c r="E19" i="12"/>
  <c r="F19" i="12"/>
  <c r="G19" i="12"/>
  <c r="H19" i="12"/>
  <c r="I19" i="12"/>
  <c r="E20" i="12"/>
  <c r="F20" i="12"/>
  <c r="G20" i="12"/>
  <c r="H20" i="12"/>
  <c r="I20" i="12"/>
  <c r="E21" i="12"/>
  <c r="F21" i="12"/>
  <c r="G21" i="12"/>
  <c r="H21" i="12"/>
  <c r="I21" i="12"/>
  <c r="E22" i="12"/>
  <c r="F22" i="12"/>
  <c r="G22" i="12"/>
  <c r="H22" i="12"/>
  <c r="I22" i="12"/>
  <c r="E23" i="12"/>
  <c r="F23" i="12"/>
  <c r="G23" i="12"/>
  <c r="H23" i="12"/>
  <c r="I23" i="12"/>
  <c r="E24" i="12"/>
  <c r="F24" i="12"/>
  <c r="G24" i="12"/>
  <c r="H24" i="12"/>
  <c r="I24" i="12"/>
  <c r="E25" i="12"/>
  <c r="F25" i="12"/>
  <c r="G25" i="12"/>
  <c r="H25" i="12"/>
  <c r="I25" i="12"/>
  <c r="E26" i="12"/>
  <c r="F26" i="12"/>
  <c r="G26" i="12"/>
  <c r="H26" i="12"/>
  <c r="I26" i="12"/>
  <c r="E27" i="12"/>
  <c r="F27" i="12"/>
  <c r="G27" i="12"/>
  <c r="H27" i="12"/>
  <c r="I27" i="12"/>
  <c r="E28" i="12"/>
  <c r="F28" i="12"/>
  <c r="G28" i="12"/>
  <c r="H28" i="12"/>
  <c r="I28" i="12"/>
  <c r="E29" i="12"/>
  <c r="F29" i="12"/>
  <c r="G29" i="12"/>
  <c r="H29" i="12"/>
  <c r="I29" i="12"/>
  <c r="E30" i="12"/>
  <c r="F30" i="12"/>
  <c r="G30" i="12"/>
  <c r="H30" i="12"/>
  <c r="I30" i="12"/>
  <c r="E31" i="12"/>
  <c r="F31" i="12"/>
  <c r="G31" i="12"/>
  <c r="H31" i="12"/>
  <c r="I31" i="12"/>
  <c r="E32" i="12"/>
  <c r="F32" i="12"/>
  <c r="G32" i="12"/>
  <c r="H32" i="12"/>
  <c r="I32" i="12"/>
  <c r="E33" i="12"/>
  <c r="F33" i="12"/>
  <c r="G33" i="12"/>
  <c r="H33" i="12"/>
  <c r="I33" i="12"/>
  <c r="E34" i="12"/>
  <c r="F34" i="12"/>
  <c r="G34" i="12"/>
  <c r="H34" i="12"/>
  <c r="I34" i="12"/>
  <c r="E35" i="12"/>
  <c r="F35" i="12"/>
  <c r="G35" i="12"/>
  <c r="H35" i="12"/>
  <c r="I35" i="12"/>
  <c r="E36" i="12"/>
  <c r="F36" i="12"/>
  <c r="G36" i="12"/>
  <c r="H36" i="12"/>
  <c r="I36" i="12"/>
  <c r="E37" i="12"/>
  <c r="F37" i="12"/>
  <c r="G37" i="12"/>
  <c r="H37" i="12"/>
  <c r="I37" i="12"/>
  <c r="E38" i="12"/>
  <c r="F38" i="12"/>
  <c r="G38" i="12"/>
  <c r="H38" i="12"/>
  <c r="I38" i="12"/>
  <c r="E39" i="12"/>
  <c r="F39" i="12"/>
  <c r="G39" i="12"/>
  <c r="H39" i="12"/>
  <c r="I39" i="12"/>
  <c r="E40" i="12"/>
  <c r="F40" i="12"/>
  <c r="G40" i="12"/>
  <c r="H40" i="12"/>
  <c r="I40" i="12"/>
  <c r="E41" i="12"/>
  <c r="F41" i="12"/>
  <c r="G41" i="12"/>
  <c r="H41" i="12"/>
  <c r="I41" i="12"/>
  <c r="E42" i="12"/>
  <c r="F42" i="12"/>
  <c r="G42" i="12"/>
  <c r="H42" i="12"/>
  <c r="I42" i="12"/>
  <c r="E43" i="12"/>
  <c r="F43" i="12"/>
  <c r="G43" i="12"/>
  <c r="H43" i="12"/>
  <c r="I43" i="12"/>
  <c r="E44" i="12"/>
  <c r="F44" i="12"/>
  <c r="G44" i="12"/>
  <c r="H44" i="12"/>
  <c r="I44" i="12"/>
  <c r="E45" i="12"/>
  <c r="F45" i="12"/>
  <c r="G45" i="12"/>
  <c r="H45" i="12"/>
  <c r="I45" i="12"/>
  <c r="E46" i="12"/>
  <c r="F46" i="12"/>
  <c r="G46" i="12"/>
  <c r="H46" i="12"/>
  <c r="I46" i="12"/>
  <c r="E47" i="12"/>
  <c r="F47" i="12"/>
  <c r="G47" i="12"/>
  <c r="H47" i="12"/>
  <c r="I47" i="12"/>
  <c r="E48" i="12"/>
  <c r="F48" i="12"/>
  <c r="G48" i="12"/>
  <c r="H48" i="12"/>
  <c r="I48" i="12"/>
  <c r="E49" i="12"/>
  <c r="F49" i="12"/>
  <c r="G49" i="12"/>
  <c r="H49" i="12"/>
  <c r="I49" i="12"/>
  <c r="E50" i="12"/>
  <c r="F50" i="12"/>
  <c r="G50" i="12"/>
  <c r="H50" i="12"/>
  <c r="I50" i="12"/>
  <c r="E51" i="12"/>
  <c r="F51" i="12"/>
  <c r="G51" i="12"/>
  <c r="H51" i="12"/>
  <c r="I51" i="12"/>
  <c r="E52" i="12"/>
  <c r="F52" i="12"/>
  <c r="G52" i="12"/>
  <c r="H52" i="12"/>
  <c r="I52" i="12"/>
  <c r="E53" i="12"/>
  <c r="F53" i="12"/>
  <c r="G53" i="12"/>
  <c r="H53" i="12"/>
  <c r="I53" i="12"/>
  <c r="E54" i="12"/>
  <c r="F54" i="12"/>
  <c r="G54" i="12"/>
  <c r="H54" i="12"/>
  <c r="I54" i="12"/>
  <c r="E55" i="12"/>
  <c r="F55" i="12"/>
  <c r="G55" i="12"/>
  <c r="H55" i="12"/>
  <c r="I55" i="12"/>
  <c r="E56" i="12"/>
  <c r="F56" i="12"/>
  <c r="G56" i="12"/>
  <c r="H56" i="12"/>
  <c r="I56" i="12"/>
  <c r="E57" i="12"/>
  <c r="F57" i="12"/>
  <c r="G57" i="12"/>
  <c r="H57" i="12"/>
  <c r="I57" i="12"/>
  <c r="E58" i="12"/>
  <c r="F58" i="12"/>
  <c r="G58" i="12"/>
  <c r="H58" i="12"/>
  <c r="I58" i="12"/>
  <c r="E59" i="12"/>
  <c r="F59" i="12"/>
  <c r="G59" i="12"/>
  <c r="H59" i="12"/>
  <c r="I59" i="12"/>
  <c r="E60" i="12"/>
  <c r="F60" i="12"/>
  <c r="G60" i="12"/>
  <c r="H60" i="12"/>
  <c r="I60" i="12"/>
  <c r="E61" i="12"/>
  <c r="F61" i="12"/>
  <c r="G61" i="12"/>
  <c r="H61" i="12"/>
  <c r="I61" i="12"/>
  <c r="E62" i="12"/>
  <c r="F62" i="12"/>
  <c r="G62" i="12"/>
  <c r="H62" i="12"/>
  <c r="I62" i="12"/>
  <c r="E63" i="12"/>
  <c r="F63" i="12"/>
  <c r="G63" i="12"/>
  <c r="H63" i="12"/>
  <c r="I63" i="12"/>
  <c r="E64" i="12"/>
  <c r="F64" i="12"/>
  <c r="G64" i="12"/>
  <c r="H64" i="12"/>
  <c r="I64" i="12"/>
  <c r="E65" i="12"/>
  <c r="F65" i="12"/>
  <c r="G65" i="12"/>
  <c r="H65" i="12"/>
  <c r="I65" i="12"/>
  <c r="E66" i="12"/>
  <c r="F66" i="12"/>
  <c r="G66" i="12"/>
  <c r="H66" i="12"/>
  <c r="I66" i="12"/>
  <c r="E67" i="12"/>
  <c r="F67" i="12"/>
  <c r="G67" i="12"/>
  <c r="H67" i="12"/>
  <c r="I67" i="12"/>
  <c r="E68" i="12"/>
  <c r="F68" i="12"/>
  <c r="G68" i="12"/>
  <c r="H68" i="12"/>
  <c r="I68" i="12"/>
  <c r="E69" i="12"/>
  <c r="F69" i="12"/>
  <c r="G69" i="12"/>
  <c r="H69" i="12"/>
  <c r="I69" i="12"/>
  <c r="E70" i="12"/>
  <c r="F70" i="12"/>
  <c r="G70" i="12"/>
  <c r="H70" i="12"/>
  <c r="I70" i="12"/>
  <c r="E71" i="12"/>
  <c r="F71" i="12"/>
  <c r="G71" i="12"/>
  <c r="H71" i="12"/>
  <c r="I71" i="12"/>
  <c r="E72" i="12"/>
  <c r="F72" i="12"/>
  <c r="G72" i="12"/>
  <c r="H72" i="12"/>
  <c r="I72" i="12"/>
  <c r="E73" i="12"/>
  <c r="F73" i="12"/>
  <c r="G73" i="12"/>
  <c r="H73" i="12"/>
  <c r="I73" i="12"/>
  <c r="E74" i="12"/>
  <c r="F74" i="12"/>
  <c r="G74" i="12"/>
  <c r="H74" i="12"/>
  <c r="I74" i="12"/>
  <c r="E75" i="12"/>
  <c r="F75" i="12"/>
  <c r="G75" i="12"/>
  <c r="H75" i="12"/>
  <c r="I75" i="12"/>
  <c r="E76" i="12"/>
  <c r="F76" i="12"/>
  <c r="G76" i="12"/>
  <c r="H76" i="12"/>
  <c r="I76" i="12"/>
  <c r="E77" i="12"/>
  <c r="F77" i="12"/>
  <c r="G77" i="12"/>
  <c r="H77" i="12"/>
  <c r="I77" i="12"/>
  <c r="E78" i="12"/>
  <c r="F78" i="12"/>
  <c r="G78" i="12"/>
  <c r="H78" i="12"/>
  <c r="I78" i="12"/>
  <c r="E79" i="12"/>
  <c r="F79" i="12"/>
  <c r="G79" i="12"/>
  <c r="H79" i="12"/>
  <c r="I79" i="12"/>
  <c r="E80" i="12"/>
  <c r="F80" i="12"/>
  <c r="G80" i="12"/>
  <c r="H80" i="12"/>
  <c r="I80" i="12"/>
  <c r="E81" i="12"/>
  <c r="F81" i="12"/>
  <c r="G81" i="12"/>
  <c r="H81" i="12"/>
  <c r="I81" i="12"/>
  <c r="I2" i="12"/>
  <c r="H2" i="12"/>
  <c r="G2" i="12"/>
  <c r="F2" i="12"/>
  <c r="E2" i="12"/>
  <c r="E3" i="7"/>
  <c r="E10" i="7"/>
  <c r="E11" i="7"/>
  <c r="G11" i="7"/>
  <c r="I12" i="7"/>
  <c r="I13" i="7"/>
  <c r="I14" i="7"/>
  <c r="G15" i="7"/>
  <c r="I15" i="7"/>
  <c r="G16" i="7"/>
  <c r="I16" i="7"/>
  <c r="E17" i="7"/>
  <c r="G17" i="7"/>
  <c r="I17" i="7"/>
  <c r="I18" i="7"/>
  <c r="G19" i="7"/>
  <c r="I29" i="7"/>
  <c r="I30" i="7"/>
  <c r="I33" i="7"/>
  <c r="E36" i="7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2" i="1"/>
  <c r="E3" i="1"/>
  <c r="F3" i="1"/>
  <c r="G3" i="1"/>
  <c r="H3" i="1"/>
  <c r="E4" i="1"/>
  <c r="F4" i="1"/>
  <c r="G4" i="1"/>
  <c r="H4" i="1"/>
  <c r="E5" i="1"/>
  <c r="F5" i="1"/>
  <c r="G5" i="1"/>
  <c r="H5" i="1"/>
  <c r="E6" i="1"/>
  <c r="F6" i="1"/>
  <c r="G6" i="1"/>
  <c r="H6" i="1"/>
  <c r="E7" i="1"/>
  <c r="F7" i="1"/>
  <c r="G7" i="1"/>
  <c r="H7" i="1"/>
  <c r="E8" i="1"/>
  <c r="F8" i="1"/>
  <c r="G8" i="1"/>
  <c r="H8" i="1"/>
  <c r="E9" i="1"/>
  <c r="F9" i="1"/>
  <c r="G9" i="1"/>
  <c r="H9" i="1"/>
  <c r="E10" i="1"/>
  <c r="F10" i="1"/>
  <c r="G10" i="1"/>
  <c r="H10" i="1"/>
  <c r="E11" i="1"/>
  <c r="F11" i="1"/>
  <c r="G11" i="1"/>
  <c r="H11" i="1"/>
  <c r="E12" i="1"/>
  <c r="F12" i="1"/>
  <c r="G12" i="1"/>
  <c r="H12" i="1"/>
  <c r="E13" i="1"/>
  <c r="F13" i="1"/>
  <c r="G13" i="1"/>
  <c r="H13" i="1"/>
  <c r="E14" i="1"/>
  <c r="F14" i="1"/>
  <c r="G14" i="1"/>
  <c r="H14" i="1"/>
  <c r="E15" i="1"/>
  <c r="F15" i="1"/>
  <c r="G15" i="1"/>
  <c r="H15" i="1"/>
  <c r="E16" i="1"/>
  <c r="F16" i="1"/>
  <c r="G16" i="1"/>
  <c r="H16" i="1"/>
  <c r="E17" i="1"/>
  <c r="F17" i="1"/>
  <c r="G17" i="1"/>
  <c r="H17" i="1"/>
  <c r="E18" i="1"/>
  <c r="F18" i="1"/>
  <c r="G18" i="1"/>
  <c r="H18" i="1"/>
  <c r="E19" i="1"/>
  <c r="F19" i="1"/>
  <c r="G19" i="1"/>
  <c r="H19" i="1"/>
  <c r="E20" i="1"/>
  <c r="F20" i="1"/>
  <c r="G20" i="1"/>
  <c r="H20" i="1"/>
  <c r="E21" i="1"/>
  <c r="F21" i="1"/>
  <c r="G21" i="1"/>
  <c r="H21" i="1"/>
  <c r="E22" i="1"/>
  <c r="F22" i="1"/>
  <c r="G22" i="1"/>
  <c r="H22" i="1"/>
  <c r="E23" i="1"/>
  <c r="F23" i="1"/>
  <c r="G23" i="1"/>
  <c r="H23" i="1"/>
  <c r="E24" i="1"/>
  <c r="F24" i="1"/>
  <c r="G24" i="1"/>
  <c r="H24" i="1"/>
  <c r="E25" i="1"/>
  <c r="F25" i="1"/>
  <c r="G25" i="1"/>
  <c r="H25" i="1"/>
  <c r="E26" i="1"/>
  <c r="F26" i="1"/>
  <c r="G26" i="1"/>
  <c r="H26" i="1"/>
  <c r="E27" i="1"/>
  <c r="F27" i="1"/>
  <c r="G27" i="1"/>
  <c r="H27" i="1"/>
  <c r="E28" i="1"/>
  <c r="F28" i="1"/>
  <c r="G28" i="1"/>
  <c r="H28" i="1"/>
  <c r="E29" i="1"/>
  <c r="F29" i="1"/>
  <c r="G29" i="1"/>
  <c r="H29" i="1"/>
  <c r="E30" i="1"/>
  <c r="F30" i="1"/>
  <c r="G30" i="1"/>
  <c r="H30" i="1"/>
  <c r="E31" i="1"/>
  <c r="F31" i="1"/>
  <c r="G31" i="1"/>
  <c r="H31" i="1"/>
  <c r="E32" i="1"/>
  <c r="F32" i="1"/>
  <c r="G32" i="1"/>
  <c r="H32" i="1"/>
  <c r="E33" i="1"/>
  <c r="F33" i="1"/>
  <c r="G33" i="1"/>
  <c r="H33" i="1"/>
  <c r="E34" i="1"/>
  <c r="F34" i="1"/>
  <c r="G34" i="1"/>
  <c r="H34" i="1"/>
  <c r="E35" i="1"/>
  <c r="F35" i="1"/>
  <c r="G35" i="1"/>
  <c r="H35" i="1"/>
  <c r="E36" i="1"/>
  <c r="F36" i="1"/>
  <c r="G36" i="1"/>
  <c r="H36" i="1"/>
  <c r="H2" i="1"/>
  <c r="G2" i="1"/>
  <c r="F2" i="1"/>
  <c r="E2" i="1"/>
  <c r="E11" i="6" l="1"/>
  <c r="E8" i="6"/>
  <c r="E10" i="6"/>
  <c r="E9" i="6"/>
  <c r="E6" i="6"/>
  <c r="E5" i="6"/>
  <c r="E3" i="6"/>
  <c r="G10" i="7"/>
  <c r="G21" i="11"/>
  <c r="E29" i="7"/>
  <c r="H32" i="11"/>
  <c r="H20" i="11"/>
  <c r="H16" i="11"/>
  <c r="E27" i="7"/>
  <c r="G2" i="10"/>
  <c r="E28" i="11"/>
  <c r="E20" i="11"/>
  <c r="E16" i="11"/>
  <c r="E4" i="11"/>
  <c r="I35" i="7"/>
  <c r="I21" i="9"/>
  <c r="H31" i="11"/>
  <c r="H27" i="11"/>
  <c r="H23" i="11"/>
  <c r="H19" i="11"/>
  <c r="H15" i="11"/>
  <c r="H11" i="11"/>
  <c r="H7" i="11"/>
  <c r="H3" i="11"/>
  <c r="I21" i="11"/>
  <c r="I5" i="11"/>
  <c r="G5" i="7"/>
  <c r="G31" i="11"/>
  <c r="G27" i="11"/>
  <c r="G23" i="11"/>
  <c r="G15" i="11"/>
  <c r="G11" i="11"/>
  <c r="F3" i="8"/>
  <c r="H2" i="11"/>
  <c r="I7" i="7"/>
  <c r="I17" i="9"/>
  <c r="E14" i="11"/>
  <c r="E3" i="8"/>
  <c r="G25" i="11"/>
  <c r="E6" i="8"/>
  <c r="E7" i="11"/>
  <c r="H5" i="11"/>
  <c r="H4" i="11"/>
  <c r="E3" i="10"/>
  <c r="F3" i="10"/>
  <c r="O3" i="10"/>
  <c r="E4" i="10"/>
  <c r="F4" i="10"/>
  <c r="F7" i="10"/>
  <c r="E8" i="10"/>
  <c r="E10" i="10"/>
  <c r="F10" i="10"/>
  <c r="G10" i="10"/>
  <c r="H10" i="10"/>
  <c r="I10" i="10"/>
  <c r="E11" i="10"/>
  <c r="F11" i="10"/>
  <c r="E12" i="10"/>
  <c r="F12" i="10"/>
  <c r="E13" i="10"/>
  <c r="F13" i="10"/>
  <c r="E14" i="10"/>
  <c r="F14" i="10"/>
  <c r="E15" i="10"/>
  <c r="F15" i="10"/>
  <c r="E16" i="10"/>
  <c r="F16" i="10"/>
  <c r="E29" i="10"/>
  <c r="E30" i="10"/>
  <c r="F30" i="10"/>
  <c r="H30" i="10"/>
  <c r="I17" i="10"/>
  <c r="E18" i="10"/>
  <c r="F18" i="10"/>
  <c r="E19" i="10"/>
  <c r="F19" i="10"/>
  <c r="E20" i="10"/>
  <c r="F20" i="10"/>
  <c r="E21" i="10"/>
  <c r="F21" i="10"/>
  <c r="E22" i="10"/>
  <c r="F22" i="10"/>
  <c r="E23" i="10"/>
  <c r="F23" i="10"/>
  <c r="E24" i="10"/>
  <c r="F24" i="10"/>
  <c r="E28" i="10"/>
  <c r="F28" i="10"/>
  <c r="H28" i="10"/>
  <c r="E25" i="10"/>
  <c r="F25" i="10"/>
  <c r="E26" i="10"/>
  <c r="F26" i="10"/>
  <c r="E27" i="10"/>
  <c r="F27" i="10"/>
  <c r="F29" i="10"/>
  <c r="F6" i="10"/>
  <c r="H9" i="10"/>
  <c r="H5" i="10"/>
  <c r="H7" i="10"/>
  <c r="E5" i="10"/>
  <c r="O5" i="10"/>
  <c r="F9" i="10"/>
  <c r="E7" i="10"/>
  <c r="F5" i="10"/>
  <c r="E6" i="10"/>
  <c r="H6" i="10"/>
  <c r="O6" i="10"/>
  <c r="F8" i="10"/>
  <c r="O7" i="10"/>
  <c r="O8" i="10"/>
  <c r="E9" i="10"/>
  <c r="G8" i="10"/>
  <c r="F2" i="10"/>
  <c r="E3" i="9"/>
  <c r="F3" i="9"/>
  <c r="E4" i="9"/>
  <c r="F4" i="9"/>
  <c r="E5" i="9"/>
  <c r="F5" i="9"/>
  <c r="G6" i="9"/>
  <c r="E7" i="9"/>
  <c r="F7" i="9"/>
  <c r="F12" i="9"/>
  <c r="E13" i="9"/>
  <c r="F13" i="9"/>
  <c r="F19" i="9"/>
  <c r="F20" i="9"/>
  <c r="E25" i="9"/>
  <c r="F26" i="9"/>
  <c r="F27" i="9"/>
  <c r="F30" i="9"/>
  <c r="E31" i="9"/>
  <c r="O8" i="9"/>
  <c r="E9" i="9"/>
  <c r="F9" i="9"/>
  <c r="E10" i="9"/>
  <c r="F10" i="9"/>
  <c r="E11" i="9"/>
  <c r="F11" i="9"/>
  <c r="E12" i="9"/>
  <c r="E14" i="9"/>
  <c r="F14" i="9"/>
  <c r="G14" i="9"/>
  <c r="E20" i="9"/>
  <c r="H20" i="9"/>
  <c r="F22" i="9"/>
  <c r="E23" i="9"/>
  <c r="F28" i="9"/>
  <c r="F34" i="9"/>
  <c r="F35" i="9"/>
  <c r="F36" i="9"/>
  <c r="O14" i="9"/>
  <c r="E15" i="9"/>
  <c r="F15" i="9"/>
  <c r="E16" i="9"/>
  <c r="F16" i="9"/>
  <c r="E17" i="9"/>
  <c r="F17" i="9"/>
  <c r="E18" i="9"/>
  <c r="F18" i="9"/>
  <c r="E26" i="9"/>
  <c r="F32" i="9"/>
  <c r="E34" i="9"/>
  <c r="O20" i="9"/>
  <c r="E21" i="9"/>
  <c r="F21" i="9"/>
  <c r="E22" i="9"/>
  <c r="H22" i="9"/>
  <c r="F23" i="9"/>
  <c r="H23" i="9"/>
  <c r="F24" i="9"/>
  <c r="O24" i="9"/>
  <c r="H26" i="9"/>
  <c r="O35" i="9"/>
  <c r="G38" i="9"/>
  <c r="E50" i="9"/>
  <c r="O26" i="9"/>
  <c r="O32" i="9"/>
  <c r="O38" i="9"/>
  <c r="E39" i="9"/>
  <c r="F39" i="9"/>
  <c r="E40" i="9"/>
  <c r="F40" i="9"/>
  <c r="E41" i="9"/>
  <c r="F41" i="9"/>
  <c r="E42" i="9"/>
  <c r="F42" i="9"/>
  <c r="E43" i="9"/>
  <c r="F43" i="9"/>
  <c r="E44" i="9"/>
  <c r="F44" i="9"/>
  <c r="O44" i="9"/>
  <c r="E45" i="9"/>
  <c r="F45" i="9"/>
  <c r="E46" i="9"/>
  <c r="F46" i="9"/>
  <c r="E47" i="9"/>
  <c r="O50" i="9"/>
  <c r="E51" i="9"/>
  <c r="F51" i="9"/>
  <c r="E52" i="9"/>
  <c r="F52" i="9"/>
  <c r="E53" i="9"/>
  <c r="F53" i="9"/>
  <c r="E54" i="9"/>
  <c r="F54" i="9"/>
  <c r="E55" i="9"/>
  <c r="F55" i="9"/>
  <c r="E56" i="9"/>
  <c r="F56" i="9"/>
  <c r="E57" i="9"/>
  <c r="F57" i="9"/>
  <c r="E58" i="9"/>
  <c r="F58" i="9"/>
  <c r="E59" i="9"/>
  <c r="F59" i="9"/>
  <c r="E60" i="9"/>
  <c r="F60" i="9"/>
  <c r="E24" i="9"/>
  <c r="E28" i="9"/>
  <c r="E35" i="9"/>
  <c r="F37" i="9"/>
  <c r="H14" i="9"/>
  <c r="H32" i="9"/>
  <c r="E6" i="9"/>
  <c r="E30" i="9"/>
  <c r="G32" i="9"/>
  <c r="F33" i="9"/>
  <c r="E48" i="9"/>
  <c r="F49" i="9"/>
  <c r="H7" i="9"/>
  <c r="E27" i="9"/>
  <c r="G28" i="9"/>
  <c r="E29" i="9"/>
  <c r="E8" i="9"/>
  <c r="F38" i="9"/>
  <c r="E49" i="9"/>
  <c r="F50" i="9"/>
  <c r="F25" i="9"/>
  <c r="H29" i="9"/>
  <c r="F8" i="9"/>
  <c r="H19" i="9"/>
  <c r="H33" i="9"/>
  <c r="E19" i="9"/>
  <c r="F29" i="9"/>
  <c r="H48" i="9"/>
  <c r="E36" i="9"/>
  <c r="E32" i="9"/>
  <c r="F31" i="9"/>
  <c r="G33" i="9"/>
  <c r="E37" i="9"/>
  <c r="E38" i="9"/>
  <c r="E33" i="9"/>
  <c r="F47" i="9"/>
  <c r="F48" i="9"/>
  <c r="H2" i="9"/>
  <c r="F2" i="9"/>
  <c r="E2" i="9"/>
  <c r="G2" i="9"/>
  <c r="I2" i="9"/>
  <c r="O21" i="7"/>
  <c r="F16" i="8"/>
  <c r="E7" i="8"/>
  <c r="H16" i="8"/>
  <c r="G15" i="8"/>
  <c r="F15" i="8"/>
  <c r="E15" i="8"/>
  <c r="I14" i="8"/>
  <c r="H14" i="8"/>
  <c r="G14" i="8"/>
  <c r="F14" i="8"/>
  <c r="E14" i="8"/>
  <c r="I13" i="8"/>
  <c r="H13" i="8"/>
  <c r="G13" i="8"/>
  <c r="F13" i="8"/>
  <c r="E13" i="8"/>
  <c r="I12" i="8"/>
  <c r="H12" i="8"/>
  <c r="G12" i="8"/>
  <c r="F12" i="8"/>
  <c r="E12" i="8"/>
  <c r="I11" i="8"/>
  <c r="H11" i="8"/>
  <c r="G11" i="8"/>
  <c r="F11" i="8"/>
  <c r="E11" i="8"/>
  <c r="I10" i="8"/>
  <c r="H10" i="8"/>
  <c r="G10" i="8"/>
  <c r="F10" i="8"/>
  <c r="E10" i="8"/>
  <c r="I9" i="8"/>
  <c r="H9" i="8"/>
  <c r="G9" i="8"/>
  <c r="F9" i="8"/>
  <c r="E9" i="8"/>
  <c r="I8" i="8"/>
  <c r="H8" i="8"/>
  <c r="G8" i="8"/>
  <c r="F8" i="8"/>
  <c r="E8" i="8"/>
  <c r="I7" i="8"/>
  <c r="H7" i="8"/>
  <c r="G7" i="8"/>
  <c r="F7" i="8"/>
  <c r="I4" i="8"/>
  <c r="H4" i="8"/>
  <c r="G4" i="8"/>
  <c r="F4" i="8"/>
  <c r="E4" i="8"/>
  <c r="H2" i="8"/>
  <c r="F2" i="8"/>
  <c r="G2" i="8"/>
  <c r="I2" i="8"/>
  <c r="F3" i="7"/>
  <c r="H3" i="7"/>
  <c r="F4" i="7"/>
  <c r="F5" i="7"/>
  <c r="H5" i="7"/>
  <c r="F6" i="7"/>
  <c r="F7" i="7"/>
  <c r="H7" i="7"/>
  <c r="F8" i="7"/>
  <c r="H8" i="7"/>
  <c r="F9" i="7"/>
  <c r="H9" i="7"/>
  <c r="F10" i="7"/>
  <c r="H10" i="7"/>
  <c r="F11" i="7"/>
  <c r="H11" i="7"/>
  <c r="F12" i="7"/>
  <c r="H12" i="7"/>
  <c r="F13" i="7"/>
  <c r="H13" i="7"/>
  <c r="F14" i="7"/>
  <c r="H14" i="7"/>
  <c r="F15" i="7"/>
  <c r="H15" i="7"/>
  <c r="F16" i="7"/>
  <c r="H16" i="7"/>
  <c r="F17" i="7"/>
  <c r="H17" i="7"/>
  <c r="F18" i="7"/>
  <c r="H18" i="7"/>
  <c r="F19" i="7"/>
  <c r="H19" i="7"/>
  <c r="F20" i="7"/>
  <c r="F21" i="7"/>
  <c r="H21" i="7"/>
  <c r="F22" i="7"/>
  <c r="H22" i="7"/>
  <c r="F23" i="7"/>
  <c r="F24" i="7"/>
  <c r="F25" i="7"/>
  <c r="F26" i="7"/>
  <c r="H26" i="7"/>
  <c r="F27" i="7"/>
  <c r="H27" i="7"/>
  <c r="F28" i="7"/>
  <c r="F29" i="7"/>
  <c r="H29" i="7"/>
  <c r="F30" i="7"/>
  <c r="H30" i="7"/>
  <c r="F31" i="7"/>
  <c r="F32" i="7"/>
  <c r="H32" i="7"/>
  <c r="F33" i="7"/>
  <c r="H33" i="7"/>
  <c r="F34" i="7"/>
  <c r="F35" i="7"/>
  <c r="H35" i="7"/>
  <c r="F36" i="7"/>
  <c r="H36" i="7"/>
  <c r="F2" i="7"/>
  <c r="E14" i="7"/>
  <c r="G22" i="7"/>
  <c r="I25" i="7"/>
  <c r="G28" i="7"/>
  <c r="G4" i="7"/>
  <c r="G18" i="7"/>
  <c r="I23" i="7"/>
  <c r="H25" i="7"/>
  <c r="E26" i="7"/>
  <c r="E30" i="7"/>
  <c r="G32" i="7"/>
  <c r="G6" i="7"/>
  <c r="G25" i="7"/>
  <c r="E28" i="7"/>
  <c r="I28" i="7"/>
  <c r="E32" i="7"/>
  <c r="I8" i="7"/>
  <c r="H23" i="7"/>
  <c r="H28" i="7"/>
  <c r="E13" i="7"/>
  <c r="H4" i="7"/>
  <c r="E8" i="7"/>
  <c r="E9" i="7"/>
  <c r="G9" i="7"/>
  <c r="E18" i="7"/>
  <c r="G31" i="7"/>
  <c r="I31" i="7"/>
  <c r="H31" i="7"/>
  <c r="G12" i="7"/>
  <c r="I4" i="7"/>
  <c r="E22" i="7"/>
  <c r="E24" i="7"/>
  <c r="H24" i="7"/>
  <c r="H6" i="7"/>
  <c r="I6" i="7"/>
  <c r="E15" i="7"/>
  <c r="H20" i="7"/>
  <c r="E21" i="7"/>
  <c r="G21" i="7"/>
  <c r="I24" i="7"/>
  <c r="G8" i="7"/>
  <c r="E33" i="7"/>
  <c r="I20" i="7"/>
  <c r="E31" i="7"/>
  <c r="H34" i="7"/>
  <c r="E12" i="7"/>
  <c r="G33" i="7"/>
  <c r="E19" i="7"/>
  <c r="G20" i="7"/>
  <c r="E34" i="7"/>
  <c r="G24" i="7"/>
  <c r="G23" i="7"/>
  <c r="G34" i="7"/>
  <c r="G36" i="7"/>
  <c r="E2" i="7"/>
  <c r="G2" i="7"/>
  <c r="I2" i="7"/>
  <c r="H2" i="7"/>
</calcChain>
</file>

<file path=xl/sharedStrings.xml><?xml version="1.0" encoding="utf-8"?>
<sst xmlns="http://schemas.openxmlformats.org/spreadsheetml/2006/main" count="778" uniqueCount="529">
  <si>
    <t>HW400X400</t>
  </si>
  <si>
    <t>HM588X300</t>
  </si>
  <si>
    <t>HN700X300</t>
  </si>
  <si>
    <t>HN900X300</t>
  </si>
  <si>
    <t>377X6</t>
    <phoneticPr fontId="1" type="noConversion"/>
  </si>
  <si>
    <t>426X6</t>
    <phoneticPr fontId="1" type="noConversion"/>
  </si>
  <si>
    <t>600X8</t>
    <phoneticPr fontId="1" type="noConversion"/>
  </si>
  <si>
    <t>630X8</t>
    <phoneticPr fontId="1" type="noConversion"/>
  </si>
  <si>
    <t>820X10</t>
    <phoneticPr fontId="1" type="noConversion"/>
  </si>
  <si>
    <t>1000X10</t>
    <phoneticPr fontId="1" type="noConversion"/>
  </si>
  <si>
    <t>1000X12</t>
    <phoneticPr fontId="1" type="noConversion"/>
  </si>
  <si>
    <t>I10</t>
  </si>
  <si>
    <t>I12</t>
  </si>
  <si>
    <t>I12.6</t>
  </si>
  <si>
    <t>I14</t>
  </si>
  <si>
    <t>I16</t>
  </si>
  <si>
    <t>I18</t>
  </si>
  <si>
    <t>I20a</t>
  </si>
  <si>
    <t>I20b</t>
  </si>
  <si>
    <t>I22a</t>
  </si>
  <si>
    <t>I22b</t>
  </si>
  <si>
    <t>I25a</t>
  </si>
  <si>
    <t>I25b</t>
  </si>
  <si>
    <t>I28a</t>
  </si>
  <si>
    <t>I28b</t>
  </si>
  <si>
    <t>I32a</t>
  </si>
  <si>
    <t>I32b</t>
  </si>
  <si>
    <t>I32c</t>
  </si>
  <si>
    <t>I36a</t>
  </si>
  <si>
    <t>I36b</t>
  </si>
  <si>
    <t>I36c</t>
  </si>
  <si>
    <t>I40a</t>
  </si>
  <si>
    <t>I40b</t>
  </si>
  <si>
    <t>I40c</t>
  </si>
  <si>
    <t>I45a</t>
  </si>
  <si>
    <t>I45b</t>
  </si>
  <si>
    <t>I45c</t>
  </si>
  <si>
    <t>I50a</t>
  </si>
  <si>
    <t>I50b</t>
  </si>
  <si>
    <t>I50c</t>
  </si>
  <si>
    <t>I56a</t>
  </si>
  <si>
    <t>I56b</t>
  </si>
  <si>
    <t>I56c</t>
  </si>
  <si>
    <t>I63a</t>
  </si>
  <si>
    <t>I63b</t>
  </si>
  <si>
    <t>I63c</t>
  </si>
  <si>
    <t>C5</t>
  </si>
  <si>
    <t>C6.3</t>
  </si>
  <si>
    <t>C8</t>
  </si>
  <si>
    <t>C10</t>
  </si>
  <si>
    <t>C12</t>
  </si>
  <si>
    <t>C12.6</t>
  </si>
  <si>
    <t>C14a</t>
  </si>
  <si>
    <t>C14b</t>
  </si>
  <si>
    <t>C16a</t>
  </si>
  <si>
    <t>C18a</t>
  </si>
  <si>
    <t>C20a</t>
  </si>
  <si>
    <t>C22a</t>
  </si>
  <si>
    <t>C25a</t>
  </si>
  <si>
    <t>C25b</t>
  </si>
  <si>
    <t>C25c</t>
  </si>
  <si>
    <t>C28a</t>
  </si>
  <si>
    <t>C28b</t>
  </si>
  <si>
    <t>C28c</t>
  </si>
  <si>
    <t>C32a</t>
  </si>
  <si>
    <t>C32b</t>
  </si>
  <si>
    <t>C32c</t>
  </si>
  <si>
    <t>C36a</t>
  </si>
  <si>
    <t>C36b</t>
  </si>
  <si>
    <t>C36c</t>
  </si>
  <si>
    <t>C40a</t>
  </si>
  <si>
    <t>C40b</t>
  </si>
  <si>
    <t>C40c</t>
  </si>
  <si>
    <t>HM594X302</t>
  </si>
  <si>
    <t>HN600X200</t>
  </si>
  <si>
    <t>HN606X201</t>
  </si>
  <si>
    <t>HN646X299</t>
  </si>
  <si>
    <t>HN650X300</t>
  </si>
  <si>
    <t>HN692X300</t>
  </si>
  <si>
    <t>HN734X299</t>
  </si>
  <si>
    <t>HN742X300</t>
  </si>
  <si>
    <t>HN750X300</t>
  </si>
  <si>
    <t>HN758X303</t>
  </si>
  <si>
    <t>HN792X300</t>
  </si>
  <si>
    <t>HN800X300</t>
  </si>
  <si>
    <t>HN834X298</t>
  </si>
  <si>
    <t>HN842X299</t>
  </si>
  <si>
    <t>HN850X300</t>
  </si>
  <si>
    <t>HN858X301</t>
  </si>
  <si>
    <t>HN890X299</t>
  </si>
  <si>
    <t>HN912X302</t>
  </si>
  <si>
    <t>HN970X297</t>
  </si>
  <si>
    <t>HN980X298</t>
  </si>
  <si>
    <t>HN990X298</t>
  </si>
  <si>
    <t>HN1000X300</t>
  </si>
  <si>
    <t>HN1008X302</t>
  </si>
  <si>
    <t>型号</t>
    <phoneticPr fontId="1" type="noConversion"/>
  </si>
  <si>
    <t>A</t>
    <phoneticPr fontId="1" type="noConversion"/>
  </si>
  <si>
    <t>I</t>
    <phoneticPr fontId="1" type="noConversion"/>
  </si>
  <si>
    <t>W</t>
    <phoneticPr fontId="1" type="noConversion"/>
  </si>
  <si>
    <t>i</t>
    <phoneticPr fontId="1" type="noConversion"/>
  </si>
  <si>
    <t>D</t>
    <phoneticPr fontId="1" type="noConversion"/>
  </si>
  <si>
    <t>d</t>
    <phoneticPr fontId="1" type="noConversion"/>
  </si>
  <si>
    <t>H</t>
    <phoneticPr fontId="1" type="noConversion"/>
  </si>
  <si>
    <t>B</t>
    <phoneticPr fontId="1" type="noConversion"/>
  </si>
  <si>
    <t>tw</t>
    <phoneticPr fontId="1" type="noConversion"/>
  </si>
  <si>
    <t>r1</t>
    <phoneticPr fontId="1" type="noConversion"/>
  </si>
  <si>
    <t>r2</t>
    <phoneticPr fontId="1" type="noConversion"/>
  </si>
  <si>
    <t>C</t>
    <phoneticPr fontId="1" type="noConversion"/>
  </si>
  <si>
    <t>tw</t>
  </si>
  <si>
    <t>tf1</t>
  </si>
  <si>
    <t>tf1</t>
    <phoneticPr fontId="1" type="noConversion"/>
  </si>
  <si>
    <t>tf2</t>
    <phoneticPr fontId="1" type="noConversion"/>
  </si>
  <si>
    <t>Ix</t>
  </si>
  <si>
    <t>Ix</t>
    <phoneticPr fontId="1" type="noConversion"/>
  </si>
  <si>
    <t>Iy</t>
  </si>
  <si>
    <t>Iy</t>
    <phoneticPr fontId="1" type="noConversion"/>
  </si>
  <si>
    <t>Wx</t>
  </si>
  <si>
    <t>Wx</t>
    <phoneticPr fontId="1" type="noConversion"/>
  </si>
  <si>
    <t>ix</t>
  </si>
  <si>
    <t>ix</t>
    <phoneticPr fontId="1" type="noConversion"/>
  </si>
  <si>
    <t>iy</t>
  </si>
  <si>
    <t>iy</t>
    <phoneticPr fontId="1" type="noConversion"/>
  </si>
  <si>
    <t>Wy</t>
  </si>
  <si>
    <t>Wy</t>
    <phoneticPr fontId="1" type="noConversion"/>
  </si>
  <si>
    <t>每延米重</t>
  </si>
  <si>
    <t>每延米重</t>
    <phoneticPr fontId="1" type="noConversion"/>
  </si>
  <si>
    <t>HW100X100</t>
  </si>
  <si>
    <t>HW125X125</t>
  </si>
  <si>
    <t>HW150X150</t>
  </si>
  <si>
    <t>HW175X175</t>
  </si>
  <si>
    <t>HW200X200</t>
  </si>
  <si>
    <t>HW200X204</t>
  </si>
  <si>
    <t>HW244X252</t>
  </si>
  <si>
    <t>HW250X250</t>
  </si>
  <si>
    <t>HW250X255</t>
  </si>
  <si>
    <t>HW294X302</t>
  </si>
  <si>
    <t>HW300X300</t>
  </si>
  <si>
    <t>HW300X305</t>
  </si>
  <si>
    <t>HW338X351</t>
  </si>
  <si>
    <t>HW344X348</t>
  </si>
  <si>
    <t>HW344X354</t>
  </si>
  <si>
    <t>HW350X350</t>
  </si>
  <si>
    <t>HW350X357</t>
  </si>
  <si>
    <t>HW388X402</t>
  </si>
  <si>
    <t>HW394X398</t>
  </si>
  <si>
    <t>HW394X405</t>
  </si>
  <si>
    <t>HW400X408</t>
  </si>
  <si>
    <t>HW414X405</t>
  </si>
  <si>
    <t>HW428X407</t>
  </si>
  <si>
    <t>HW458X417</t>
  </si>
  <si>
    <t>HW498X432</t>
  </si>
  <si>
    <t>HW492X465</t>
  </si>
  <si>
    <t>HW502X465</t>
  </si>
  <si>
    <t>HW502X470</t>
  </si>
  <si>
    <t>HM148X100</t>
  </si>
  <si>
    <t>HM194X150</t>
  </si>
  <si>
    <t>HM244X175</t>
  </si>
  <si>
    <t>HM294X200</t>
  </si>
  <si>
    <t>HM298X201</t>
  </si>
  <si>
    <t>HM340X250</t>
  </si>
  <si>
    <t>HM390X300</t>
  </si>
  <si>
    <t>HM440X300</t>
  </si>
  <si>
    <t>HM482X300</t>
  </si>
  <si>
    <t>HM488X300</t>
  </si>
  <si>
    <t>HM544X300</t>
  </si>
  <si>
    <t>HM550X300</t>
  </si>
  <si>
    <t>HM582X300</t>
  </si>
  <si>
    <t>HN100X50</t>
  </si>
  <si>
    <t>HN125X60</t>
  </si>
  <si>
    <t>HN150X75</t>
  </si>
  <si>
    <t>HN175X90</t>
  </si>
  <si>
    <t>HN198X99</t>
  </si>
  <si>
    <t>HN200X100</t>
  </si>
  <si>
    <t>HN248X124</t>
  </si>
  <si>
    <t>HN250X125</t>
  </si>
  <si>
    <t>HN298X149</t>
  </si>
  <si>
    <t>HN300X150</t>
  </si>
  <si>
    <t>HN346X174</t>
  </si>
  <si>
    <t>HN350X175</t>
  </si>
  <si>
    <t>HN400X150</t>
  </si>
  <si>
    <t>HN396X199</t>
  </si>
  <si>
    <t>HN400X200</t>
  </si>
  <si>
    <t>HN446X150</t>
  </si>
  <si>
    <t>HN450X151</t>
  </si>
  <si>
    <t>HN446X199</t>
  </si>
  <si>
    <t>HN450X200</t>
  </si>
  <si>
    <t>HN470X150</t>
  </si>
  <si>
    <t>HN475X151.5</t>
  </si>
  <si>
    <t>HN482X153.5</t>
  </si>
  <si>
    <t>HN492X150</t>
  </si>
  <si>
    <t>HN500X152</t>
  </si>
  <si>
    <t>HN504X153</t>
  </si>
  <si>
    <t>HN496X199</t>
  </si>
  <si>
    <t>HN500X200</t>
  </si>
  <si>
    <t>HN506X201</t>
  </si>
  <si>
    <t>HN546X199</t>
  </si>
  <si>
    <t>HN550X200</t>
  </si>
  <si>
    <t>HN596X199</t>
  </si>
  <si>
    <t>HN625X198.5</t>
  </si>
  <si>
    <t>HN630X200</t>
  </si>
  <si>
    <t>HN638X202</t>
  </si>
  <si>
    <t>HN654X301</t>
  </si>
  <si>
    <t>∠20x3</t>
  </si>
  <si>
    <t>∠20x4</t>
  </si>
  <si>
    <t>∠25x3</t>
  </si>
  <si>
    <t>∠25x4</t>
  </si>
  <si>
    <t>∠30x3</t>
  </si>
  <si>
    <t>∠30x4</t>
  </si>
  <si>
    <t>∠36x3</t>
  </si>
  <si>
    <t>∠36x4</t>
  </si>
  <si>
    <t>∠36x5</t>
  </si>
  <si>
    <t>∠40x3</t>
  </si>
  <si>
    <t>∠40x4</t>
  </si>
  <si>
    <t>∠40x5</t>
  </si>
  <si>
    <t>∠45x3</t>
  </si>
  <si>
    <t>∠45x4</t>
  </si>
  <si>
    <t>∠45x5</t>
  </si>
  <si>
    <t>∠45x6</t>
  </si>
  <si>
    <t>∠50x3</t>
  </si>
  <si>
    <t>∠50x4</t>
  </si>
  <si>
    <t>∠50x5</t>
  </si>
  <si>
    <t>∠50x6</t>
  </si>
  <si>
    <t>∠56x3</t>
  </si>
  <si>
    <t>∠56x4</t>
  </si>
  <si>
    <t>∠56x5</t>
  </si>
  <si>
    <t>∠56x8</t>
  </si>
  <si>
    <t>∠63x4</t>
  </si>
  <si>
    <t>∠63x5</t>
  </si>
  <si>
    <t>∠63x6</t>
  </si>
  <si>
    <t>∠63x8</t>
  </si>
  <si>
    <t>∠63x10</t>
  </si>
  <si>
    <t>∠70x4</t>
  </si>
  <si>
    <t>∠70x5</t>
  </si>
  <si>
    <t>∠70x6</t>
  </si>
  <si>
    <t>∠70x7</t>
  </si>
  <si>
    <t>∠70x8</t>
  </si>
  <si>
    <t>∠75x5</t>
  </si>
  <si>
    <t>∠75x6</t>
  </si>
  <si>
    <t>∠75x7</t>
  </si>
  <si>
    <t>∠75x8</t>
  </si>
  <si>
    <t>∠75x10</t>
  </si>
  <si>
    <t>∠80x5</t>
  </si>
  <si>
    <t>∠80x6</t>
  </si>
  <si>
    <t>∠80x7</t>
  </si>
  <si>
    <t>∠80x8</t>
  </si>
  <si>
    <t>∠80x10</t>
  </si>
  <si>
    <t>∠90x6</t>
  </si>
  <si>
    <t>∠90x7</t>
  </si>
  <si>
    <t>∠90x8</t>
  </si>
  <si>
    <t>∠90x10</t>
  </si>
  <si>
    <t>∠90x12</t>
  </si>
  <si>
    <t>∠100x6</t>
  </si>
  <si>
    <t>∠100x7</t>
  </si>
  <si>
    <t>∠100x8</t>
  </si>
  <si>
    <t>∠100x10</t>
  </si>
  <si>
    <t>∠100x12</t>
  </si>
  <si>
    <t>∠100x14</t>
  </si>
  <si>
    <t>∠100x16</t>
  </si>
  <si>
    <t>∠110x7</t>
  </si>
  <si>
    <t>∠110x8</t>
  </si>
  <si>
    <t>∠110x10</t>
  </si>
  <si>
    <t>∠110x12</t>
  </si>
  <si>
    <t>∠110x14</t>
  </si>
  <si>
    <t>∠125x8</t>
  </si>
  <si>
    <t>∠125x10</t>
  </si>
  <si>
    <t>∠125x12</t>
  </si>
  <si>
    <t>∠125x14</t>
  </si>
  <si>
    <t>∠140x10</t>
  </si>
  <si>
    <t>∠140x12</t>
  </si>
  <si>
    <t>∠140x14</t>
  </si>
  <si>
    <t>∠160x10</t>
  </si>
  <si>
    <t>∠160x12</t>
  </si>
  <si>
    <t>∠160x14</t>
  </si>
  <si>
    <t>∠160x16</t>
  </si>
  <si>
    <t>∠180x12</t>
  </si>
  <si>
    <t>∠180x14</t>
  </si>
  <si>
    <t>∠180x16</t>
  </si>
  <si>
    <t>∠200x14</t>
  </si>
  <si>
    <t>∠200x16</t>
  </si>
  <si>
    <t>∠200x18</t>
  </si>
  <si>
    <t>∠200x20</t>
  </si>
  <si>
    <t>∠200x24</t>
  </si>
  <si>
    <t>∠25x16x3</t>
  </si>
  <si>
    <t>∠25x16x4</t>
  </si>
  <si>
    <t>∠32x20x3</t>
  </si>
  <si>
    <t>∠32x20x4</t>
  </si>
  <si>
    <t>∠40x25x3</t>
  </si>
  <si>
    <t>∠40x25x4</t>
  </si>
  <si>
    <t>∠45x28x3</t>
  </si>
  <si>
    <t>∠45x28x4</t>
  </si>
  <si>
    <t>∠50x32x3</t>
  </si>
  <si>
    <t>∠50x32x4</t>
  </si>
  <si>
    <t>∠56x36x3</t>
  </si>
  <si>
    <t>∠56x36x4</t>
  </si>
  <si>
    <t>∠56x36x5</t>
  </si>
  <si>
    <t>∠63x40x4</t>
  </si>
  <si>
    <t>∠63x40x5</t>
  </si>
  <si>
    <t>∠63x40x6</t>
  </si>
  <si>
    <t>∠63x40x7</t>
  </si>
  <si>
    <t>∠70x45x4</t>
  </si>
  <si>
    <t>∠70x45x5</t>
  </si>
  <si>
    <t>∠70x45x6</t>
  </si>
  <si>
    <t>∠70x45x7</t>
  </si>
  <si>
    <t>∠75x50x5</t>
  </si>
  <si>
    <t>∠75x50x6</t>
  </si>
  <si>
    <t>∠75x50x8</t>
  </si>
  <si>
    <t>∠75x50x10</t>
  </si>
  <si>
    <t>∠80x50x5</t>
  </si>
  <si>
    <t>∠80x50x6</t>
  </si>
  <si>
    <t>∠80x50x7</t>
  </si>
  <si>
    <t>∠80x50x8</t>
  </si>
  <si>
    <t>∠90x56x5</t>
  </si>
  <si>
    <t>∠90x56x6</t>
  </si>
  <si>
    <t>∠90x56x7</t>
  </si>
  <si>
    <t>∠90x56x8</t>
  </si>
  <si>
    <t>∠100x63x6</t>
  </si>
  <si>
    <t>∠100x63x7</t>
  </si>
  <si>
    <t>∠100x63x8</t>
  </si>
  <si>
    <t>∠100x63x10</t>
  </si>
  <si>
    <t>∠100x80x6</t>
  </si>
  <si>
    <t>∠100x80x7</t>
  </si>
  <si>
    <t>∠100x80x8</t>
  </si>
  <si>
    <t>∠100x80x10</t>
  </si>
  <si>
    <t>∠110x70x6</t>
  </si>
  <si>
    <t>∠110x70x7</t>
  </si>
  <si>
    <t>∠110x70x8</t>
  </si>
  <si>
    <t>∠110x70x10</t>
  </si>
  <si>
    <t>∠125x80x7</t>
  </si>
  <si>
    <t>∠125x80x8</t>
  </si>
  <si>
    <t>∠125x80x10</t>
  </si>
  <si>
    <t>∠125x80x12</t>
  </si>
  <si>
    <t>∠140x90x8</t>
  </si>
  <si>
    <t>∠140x90x10</t>
  </si>
  <si>
    <t>∠140x90x12</t>
  </si>
  <si>
    <t>∠140x90x14</t>
  </si>
  <si>
    <t>∠160x100x10</t>
  </si>
  <si>
    <t>∠160x100x12</t>
  </si>
  <si>
    <t>∠160x100x14</t>
  </si>
  <si>
    <t>∠160x100x16</t>
  </si>
  <si>
    <t>∠180x110x10</t>
  </si>
  <si>
    <t>∠180x110x12</t>
  </si>
  <si>
    <t>∠180x110x14</t>
  </si>
  <si>
    <t>∠180x110x16</t>
  </si>
  <si>
    <t>∠200x125x12</t>
  </si>
  <si>
    <t>∠200x125x14</t>
  </si>
  <si>
    <t>∠200x125x16</t>
  </si>
  <si>
    <t>∠200x125x18</t>
  </si>
  <si>
    <t>C16</t>
  </si>
  <si>
    <t>C18</t>
  </si>
  <si>
    <t>C20</t>
  </si>
  <si>
    <t>C22</t>
  </si>
  <si>
    <t>型号</t>
  </si>
  <si>
    <t>A</t>
  </si>
  <si>
    <t>H</t>
  </si>
  <si>
    <t>B</t>
  </si>
  <si>
    <t>dx</t>
    <phoneticPr fontId="1" type="noConversion"/>
  </si>
  <si>
    <t>规范</t>
    <phoneticPr fontId="1" type="noConversion"/>
  </si>
  <si>
    <t>钢结构规范名</t>
    <phoneticPr fontId="1" type="noConversion"/>
  </si>
  <si>
    <t>钢结构规范编号</t>
    <phoneticPr fontId="1" type="noConversion"/>
  </si>
  <si>
    <t>Q235</t>
    <phoneticPr fontId="1" type="noConversion"/>
  </si>
  <si>
    <t>Q355</t>
    <phoneticPr fontId="1" type="noConversion"/>
  </si>
  <si>
    <t>Q390</t>
    <phoneticPr fontId="1" type="noConversion"/>
  </si>
  <si>
    <t>Q420</t>
    <phoneticPr fontId="1" type="noConversion"/>
  </si>
  <si>
    <t>Q460</t>
    <phoneticPr fontId="1" type="noConversion"/>
  </si>
  <si>
    <t>钢结构设计标准</t>
    <phoneticPr fontId="1" type="noConversion"/>
  </si>
  <si>
    <t>钢材牌号</t>
    <phoneticPr fontId="1" type="noConversion"/>
  </si>
  <si>
    <t>钢材厚度小于等于16mm</t>
    <phoneticPr fontId="1" type="noConversion"/>
  </si>
  <si>
    <t>钢材厚度大于16mm小于等于40mm</t>
    <phoneticPr fontId="1" type="noConversion"/>
  </si>
  <si>
    <t>钢材厚度大于40mm小于等于63mm</t>
    <phoneticPr fontId="1" type="noConversion"/>
  </si>
  <si>
    <t>钢材厚度大于63mm小于等于80mm</t>
    <phoneticPr fontId="1" type="noConversion"/>
  </si>
  <si>
    <t>钢材厚度大于80mm小于等于100mm</t>
    <phoneticPr fontId="1" type="noConversion"/>
  </si>
  <si>
    <t>215,125,320,235,370</t>
    <phoneticPr fontId="1" type="noConversion"/>
  </si>
  <si>
    <t>205,120,320,225,370</t>
    <phoneticPr fontId="1" type="noConversion"/>
  </si>
  <si>
    <t>200,115,320,215,370</t>
    <phoneticPr fontId="1" type="noConversion"/>
  </si>
  <si>
    <t>305,175,400,345,470</t>
    <phoneticPr fontId="1" type="noConversion"/>
  </si>
  <si>
    <t>295,170,400,335,470</t>
    <phoneticPr fontId="1" type="noConversion"/>
  </si>
  <si>
    <t>290,165,400,325,470</t>
    <phoneticPr fontId="1" type="noConversion"/>
  </si>
  <si>
    <t>280,160,400,315,470</t>
    <phoneticPr fontId="1" type="noConversion"/>
  </si>
  <si>
    <t>270,155,400,305,470</t>
    <phoneticPr fontId="1" type="noConversion"/>
  </si>
  <si>
    <t>345,200,415,390,490</t>
    <phoneticPr fontId="1" type="noConversion"/>
  </si>
  <si>
    <t>330,190,415,370,490</t>
    <phoneticPr fontId="1" type="noConversion"/>
  </si>
  <si>
    <t>310,180,415,350,490</t>
    <phoneticPr fontId="1" type="noConversion"/>
  </si>
  <si>
    <t>295,170,415,330,490</t>
    <phoneticPr fontId="1" type="noConversion"/>
  </si>
  <si>
    <t>355,205,440,400,520</t>
    <phoneticPr fontId="1" type="noConversion"/>
  </si>
  <si>
    <t>375,215,440,420,520</t>
    <phoneticPr fontId="1" type="noConversion"/>
  </si>
  <si>
    <t>320,185,440,380,520</t>
    <phoneticPr fontId="1" type="noConversion"/>
  </si>
  <si>
    <t>305,175,440,360,520</t>
    <phoneticPr fontId="1" type="noConversion"/>
  </si>
  <si>
    <t>410,235,470,460,550</t>
    <phoneticPr fontId="1" type="noConversion"/>
  </si>
  <si>
    <t>390,225,470,440,550</t>
    <phoneticPr fontId="1" type="noConversion"/>
  </si>
  <si>
    <t>355,205,470,420,550</t>
    <phoneticPr fontId="1" type="noConversion"/>
  </si>
  <si>
    <t>340,195,470,400,550</t>
    <phoneticPr fontId="1" type="noConversion"/>
  </si>
  <si>
    <t>钢材弹性模量</t>
    <phoneticPr fontId="1" type="noConversion"/>
  </si>
  <si>
    <t>钢材线膨胀系数</t>
    <phoneticPr fontId="1" type="noConversion"/>
  </si>
  <si>
    <t>钢材质量密度</t>
    <phoneticPr fontId="1" type="noConversion"/>
  </si>
  <si>
    <t>7850</t>
    <phoneticPr fontId="1" type="noConversion"/>
  </si>
  <si>
    <t>206000</t>
    <phoneticPr fontId="1" type="noConversion"/>
  </si>
  <si>
    <t>79000</t>
    <phoneticPr fontId="1" type="noConversion"/>
  </si>
  <si>
    <t>0.00012</t>
    <phoneticPr fontId="1" type="noConversion"/>
  </si>
  <si>
    <t>0.3</t>
  </si>
  <si>
    <t>0.3</t>
    <phoneticPr fontId="1" type="noConversion"/>
  </si>
  <si>
    <t>混凝土规范名</t>
    <phoneticPr fontId="1" type="noConversion"/>
  </si>
  <si>
    <t>混凝土规范编号</t>
    <phoneticPr fontId="1" type="noConversion"/>
  </si>
  <si>
    <t>混凝土结构设计标准</t>
    <phoneticPr fontId="1" type="noConversion"/>
  </si>
  <si>
    <t>GB/T 50010-2010</t>
  </si>
  <si>
    <t>GB/T 50010-2010</t>
    <phoneticPr fontId="1" type="noConversion"/>
  </si>
  <si>
    <t>GB50017-17(S)</t>
  </si>
  <si>
    <t>GB 50017-2017</t>
    <phoneticPr fontId="1" type="noConversion"/>
  </si>
  <si>
    <t>TB10092-17(RC)</t>
  </si>
  <si>
    <t>C20</t>
    <phoneticPr fontId="1" type="noConversion"/>
  </si>
  <si>
    <t xml:space="preserve">C25 </t>
    <phoneticPr fontId="1" type="noConversion"/>
  </si>
  <si>
    <t>C30</t>
    <phoneticPr fontId="1" type="noConversion"/>
  </si>
  <si>
    <t>C35</t>
    <phoneticPr fontId="1" type="noConversion"/>
  </si>
  <si>
    <t>C40</t>
    <phoneticPr fontId="1" type="noConversion"/>
  </si>
  <si>
    <t>C45</t>
    <phoneticPr fontId="1" type="noConversion"/>
  </si>
  <si>
    <t>C50</t>
    <phoneticPr fontId="1" type="noConversion"/>
  </si>
  <si>
    <t>C55</t>
    <phoneticPr fontId="1" type="noConversion"/>
  </si>
  <si>
    <t>C60</t>
    <phoneticPr fontId="1" type="noConversion"/>
  </si>
  <si>
    <t>C65</t>
    <phoneticPr fontId="1" type="noConversion"/>
  </si>
  <si>
    <t>C70</t>
    <phoneticPr fontId="1" type="noConversion"/>
  </si>
  <si>
    <t>C75</t>
    <phoneticPr fontId="1" type="noConversion"/>
  </si>
  <si>
    <t>C80</t>
    <phoneticPr fontId="1" type="noConversion"/>
  </si>
  <si>
    <t>fck(MPa)</t>
    <phoneticPr fontId="1" type="noConversion"/>
  </si>
  <si>
    <t>ftk(MPa)</t>
    <phoneticPr fontId="1" type="noConversion"/>
  </si>
  <si>
    <t>fc(MPa)</t>
    <phoneticPr fontId="1" type="noConversion"/>
  </si>
  <si>
    <t>ft(MPa)</t>
    <phoneticPr fontId="1" type="noConversion"/>
  </si>
  <si>
    <t>混凝土轴心抗压强度标准值</t>
    <phoneticPr fontId="1" type="noConversion"/>
  </si>
  <si>
    <t>混凝土轴心抗拉强度标准值</t>
    <phoneticPr fontId="1" type="noConversion"/>
  </si>
  <si>
    <t>混凝土轴心抗压强度设计值</t>
    <phoneticPr fontId="1" type="noConversion"/>
  </si>
  <si>
    <t>混凝土轴心抗拉强度设计值</t>
    <phoneticPr fontId="1" type="noConversion"/>
  </si>
  <si>
    <t>混凝土弹性模量</t>
    <phoneticPr fontId="1" type="noConversion"/>
  </si>
  <si>
    <t>Ec(N/mm2)</t>
    <phoneticPr fontId="1" type="noConversion"/>
  </si>
  <si>
    <t>E(N/mm2)</t>
    <phoneticPr fontId="1" type="noConversion"/>
  </si>
  <si>
    <t>G(N/mm2)</t>
    <phoneticPr fontId="1" type="noConversion"/>
  </si>
  <si>
    <t>[抗拉压弯ƒ, 抗剪ƒv, 端面承压ƒcc, 屈服强度ƒy, 抗拉强度ƒu](Mpa)</t>
    <phoneticPr fontId="1" type="noConversion"/>
  </si>
  <si>
    <t>α(1/[C])</t>
    <phoneticPr fontId="1" type="noConversion"/>
  </si>
  <si>
    <r>
      <rPr>
        <sz val="11"/>
        <color theme="1"/>
        <rFont val="Times New Roman"/>
        <family val="1"/>
      </rPr>
      <t>ρ</t>
    </r>
    <r>
      <rPr>
        <sz val="11"/>
        <color theme="1"/>
        <rFont val="等线"/>
        <family val="3"/>
        <charset val="134"/>
      </rPr>
      <t>(</t>
    </r>
    <r>
      <rPr>
        <sz val="11"/>
        <color theme="1"/>
        <rFont val="等线"/>
        <family val="2"/>
        <charset val="134"/>
        <scheme val="minor"/>
      </rPr>
      <t>Kg/m3)</t>
    </r>
    <phoneticPr fontId="1" type="noConversion"/>
  </si>
  <si>
    <t>混凝土剪切变形模量</t>
    <phoneticPr fontId="1" type="noConversion"/>
  </si>
  <si>
    <t>钢材剪切变形模量</t>
    <phoneticPr fontId="1" type="noConversion"/>
  </si>
  <si>
    <t>Gc(N/mm2)</t>
    <phoneticPr fontId="1" type="noConversion"/>
  </si>
  <si>
    <t>0.2</t>
    <phoneticPr fontId="1" type="noConversion"/>
  </si>
  <si>
    <t>混凝土线膨胀系数</t>
    <phoneticPr fontId="1" type="noConversion"/>
  </si>
  <si>
    <t>0.00001</t>
    <phoneticPr fontId="1" type="noConversion"/>
  </si>
  <si>
    <t>13.4</t>
    <phoneticPr fontId="1" type="noConversion"/>
  </si>
  <si>
    <t>1.54</t>
    <phoneticPr fontId="1" type="noConversion"/>
  </si>
  <si>
    <t>9.6</t>
    <phoneticPr fontId="1" type="noConversion"/>
  </si>
  <si>
    <t>16.7</t>
    <phoneticPr fontId="1" type="noConversion"/>
  </si>
  <si>
    <t>20.1</t>
    <phoneticPr fontId="1" type="noConversion"/>
  </si>
  <si>
    <t>23.4</t>
    <phoneticPr fontId="1" type="noConversion"/>
  </si>
  <si>
    <t>26.8</t>
    <phoneticPr fontId="1" type="noConversion"/>
  </si>
  <si>
    <t>29.6</t>
    <phoneticPr fontId="1" type="noConversion"/>
  </si>
  <si>
    <t>32.4</t>
    <phoneticPr fontId="1" type="noConversion"/>
  </si>
  <si>
    <t>35.5</t>
    <phoneticPr fontId="1" type="noConversion"/>
  </si>
  <si>
    <t>38.5</t>
    <phoneticPr fontId="1" type="noConversion"/>
  </si>
  <si>
    <t>41.5</t>
    <phoneticPr fontId="1" type="noConversion"/>
  </si>
  <si>
    <t>44.5</t>
    <phoneticPr fontId="1" type="noConversion"/>
  </si>
  <si>
    <t>47.4</t>
    <phoneticPr fontId="1" type="noConversion"/>
  </si>
  <si>
    <t>50.2</t>
    <phoneticPr fontId="1" type="noConversion"/>
  </si>
  <si>
    <t>1.78</t>
    <phoneticPr fontId="1" type="noConversion"/>
  </si>
  <si>
    <t>2.01</t>
    <phoneticPr fontId="1" type="noConversion"/>
  </si>
  <si>
    <t>2.20</t>
    <phoneticPr fontId="1" type="noConversion"/>
  </si>
  <si>
    <t>2.39</t>
    <phoneticPr fontId="1" type="noConversion"/>
  </si>
  <si>
    <t>2.51</t>
    <phoneticPr fontId="1" type="noConversion"/>
  </si>
  <si>
    <t>2.64</t>
    <phoneticPr fontId="1" type="noConversion"/>
  </si>
  <si>
    <t>2.74</t>
    <phoneticPr fontId="1" type="noConversion"/>
  </si>
  <si>
    <t>2.85</t>
    <phoneticPr fontId="1" type="noConversion"/>
  </si>
  <si>
    <t>2.93</t>
    <phoneticPr fontId="1" type="noConversion"/>
  </si>
  <si>
    <t>2.99</t>
    <phoneticPr fontId="1" type="noConversion"/>
  </si>
  <si>
    <t>3.05</t>
    <phoneticPr fontId="1" type="noConversion"/>
  </si>
  <si>
    <t>3.11</t>
    <phoneticPr fontId="1" type="noConversion"/>
  </si>
  <si>
    <t>11.9</t>
    <phoneticPr fontId="1" type="noConversion"/>
  </si>
  <si>
    <t>14.3</t>
    <phoneticPr fontId="1" type="noConversion"/>
  </si>
  <si>
    <t>19.1</t>
    <phoneticPr fontId="1" type="noConversion"/>
  </si>
  <si>
    <t>21.1</t>
    <phoneticPr fontId="1" type="noConversion"/>
  </si>
  <si>
    <t>23.1</t>
    <phoneticPr fontId="1" type="noConversion"/>
  </si>
  <si>
    <t>25.3</t>
    <phoneticPr fontId="1" type="noConversion"/>
  </si>
  <si>
    <t>27.5</t>
    <phoneticPr fontId="1" type="noConversion"/>
  </si>
  <si>
    <t>29.7</t>
    <phoneticPr fontId="1" type="noConversion"/>
  </si>
  <si>
    <t>31.8</t>
    <phoneticPr fontId="1" type="noConversion"/>
  </si>
  <si>
    <t>33.8</t>
    <phoneticPr fontId="1" type="noConversion"/>
  </si>
  <si>
    <t>35.9</t>
    <phoneticPr fontId="1" type="noConversion"/>
  </si>
  <si>
    <t>1.27</t>
    <phoneticPr fontId="1" type="noConversion"/>
  </si>
  <si>
    <t>1.10</t>
    <phoneticPr fontId="1" type="noConversion"/>
  </si>
  <si>
    <t>1.43</t>
    <phoneticPr fontId="1" type="noConversion"/>
  </si>
  <si>
    <t>1.57</t>
    <phoneticPr fontId="1" type="noConversion"/>
  </si>
  <si>
    <t>1.71</t>
    <phoneticPr fontId="1" type="noConversion"/>
  </si>
  <si>
    <t>1.80</t>
    <phoneticPr fontId="1" type="noConversion"/>
  </si>
  <si>
    <t>1.96</t>
    <phoneticPr fontId="1" type="noConversion"/>
  </si>
  <si>
    <t>2.04</t>
    <phoneticPr fontId="1" type="noConversion"/>
  </si>
  <si>
    <t>2.09</t>
    <phoneticPr fontId="1" type="noConversion"/>
  </si>
  <si>
    <t>2.14</t>
    <phoneticPr fontId="1" type="noConversion"/>
  </si>
  <si>
    <t>2.18</t>
    <phoneticPr fontId="1" type="noConversion"/>
  </si>
  <si>
    <t>2.22</t>
    <phoneticPr fontId="1" type="noConversion"/>
  </si>
  <si>
    <t>C15</t>
    <phoneticPr fontId="1" type="noConversion"/>
  </si>
  <si>
    <t>10.0</t>
    <phoneticPr fontId="1" type="noConversion"/>
  </si>
  <si>
    <t>7.2</t>
    <phoneticPr fontId="1" type="noConversion"/>
  </si>
  <si>
    <t>0.91</t>
    <phoneticPr fontId="1" type="noConversion"/>
  </si>
  <si>
    <t>Midas对应钢结构规范编号</t>
    <phoneticPr fontId="1" type="noConversion"/>
  </si>
  <si>
    <t>Midas对应混凝土规范编号</t>
    <phoneticPr fontId="1" type="noConversion"/>
  </si>
  <si>
    <t>混凝土强度等级</t>
    <phoneticPr fontId="1" type="noConversion"/>
  </si>
  <si>
    <t>钢材泊松比</t>
    <phoneticPr fontId="1" type="noConversion"/>
  </si>
  <si>
    <t>混凝土泊松比</t>
    <phoneticPr fontId="1" type="noConversion"/>
  </si>
  <si>
    <t>GB50017-17(S)</t>
    <phoneticPr fontId="1" type="noConversion"/>
  </si>
  <si>
    <t>fy(MPa)</t>
    <phoneticPr fontId="1" type="noConversion"/>
  </si>
  <si>
    <t>f'y(MPa)</t>
    <phoneticPr fontId="1" type="noConversion"/>
  </si>
  <si>
    <t>fyk(MPa)</t>
    <phoneticPr fontId="1" type="noConversion"/>
  </si>
  <si>
    <t>fstk(MPa)</t>
    <phoneticPr fontId="1" type="noConversion"/>
  </si>
  <si>
    <r>
      <t>E(N/mm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charset val="134"/>
        <scheme val="minor"/>
      </rPr>
      <t>)</t>
    </r>
    <phoneticPr fontId="1" type="noConversion"/>
  </si>
  <si>
    <t>delta_gt(%)</t>
    <phoneticPr fontId="1" type="noConversion"/>
  </si>
  <si>
    <t>钢筋规范名</t>
    <phoneticPr fontId="1" type="noConversion"/>
  </si>
  <si>
    <t>钢筋规范标号</t>
    <phoneticPr fontId="1" type="noConversion"/>
  </si>
  <si>
    <t>钢筋牌号</t>
    <phoneticPr fontId="1" type="noConversion"/>
  </si>
  <si>
    <t>钢筋抗拉强度设计值</t>
    <phoneticPr fontId="1" type="noConversion"/>
  </si>
  <si>
    <t>钢筋抗压强度设计值</t>
    <phoneticPr fontId="1" type="noConversion"/>
  </si>
  <si>
    <t>钢筋屈服强度标准值</t>
    <phoneticPr fontId="1" type="noConversion"/>
  </si>
  <si>
    <t>钢筋极限强度标准值</t>
    <phoneticPr fontId="1" type="noConversion"/>
  </si>
  <si>
    <t>钢筋弹性模量</t>
    <phoneticPr fontId="1" type="noConversion"/>
  </si>
  <si>
    <t>钢筋总伸长率限值</t>
    <phoneticPr fontId="1" type="noConversion"/>
  </si>
  <si>
    <t>HPB300</t>
    <phoneticPr fontId="1" type="noConversion"/>
  </si>
  <si>
    <t>HRB335</t>
    <phoneticPr fontId="1" type="noConversion"/>
  </si>
  <si>
    <t>HRB400</t>
    <phoneticPr fontId="1" type="noConversion"/>
  </si>
  <si>
    <t>HRBF400</t>
    <phoneticPr fontId="1" type="noConversion"/>
  </si>
  <si>
    <t>RRB400</t>
    <phoneticPr fontId="1" type="noConversion"/>
  </si>
  <si>
    <t>HRB500</t>
    <phoneticPr fontId="1" type="noConversion"/>
  </si>
  <si>
    <t>HRBF500</t>
    <phoneticPr fontId="1" type="noConversion"/>
  </si>
  <si>
    <t>1.89</t>
    <phoneticPr fontId="1" type="noConversion"/>
  </si>
  <si>
    <t>820X14</t>
    <phoneticPr fontId="1" type="noConversion"/>
  </si>
  <si>
    <t>630X6</t>
    <phoneticPr fontId="1" type="noConversion"/>
  </si>
  <si>
    <t>820X12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</si>
</sst>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000000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</font>
    <font>
      <sz val="11"/>
      <color theme="1"/>
      <name val="等线"/>
      <family val="1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  <xf numFmtId="49" fontId="0" fillId="0" borderId="0" xfId="0" applyNumberForma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AC937-4FAC-4568-ACFD-D3658EF15086}">
  <dimension ref="A1:AM16"/>
  <sheetViews>
    <sheetView topLeftCell="U1" workbookViewId="0">
      <selection activeCell="X20" sqref="X20"/>
    </sheetView>
  </sheetViews>
  <sheetFormatPr defaultRowHeight="14" x14ac:dyDescent="0.3"/>
  <cols>
    <col min="1" max="1" width="15.08203125" style="9" bestFit="1" customWidth="1"/>
    <col min="2" max="2" width="15.08203125" style="9" customWidth="1"/>
    <col min="3" max="3" width="24.75" style="9" bestFit="1" customWidth="1"/>
    <col min="4" max="4" width="9" style="9" bestFit="1" customWidth="1"/>
    <col min="5" max="5" width="23" style="9" bestFit="1" customWidth="1"/>
    <col min="6" max="8" width="33" style="9" bestFit="1" customWidth="1"/>
    <col min="9" max="9" width="34.08203125" style="9" bestFit="1" customWidth="1"/>
    <col min="10" max="10" width="13" style="9" bestFit="1" customWidth="1"/>
    <col min="11" max="11" width="17.25" style="9" bestFit="1" customWidth="1"/>
    <col min="12" max="12" width="15.08203125" style="9" bestFit="1" customWidth="1"/>
    <col min="13" max="13" width="13" style="9" bestFit="1" customWidth="1"/>
    <col min="14" max="14" width="11" style="9" bestFit="1" customWidth="1"/>
    <col min="15" max="16" width="8.6640625" style="9"/>
    <col min="17" max="17" width="19.25" style="9" bestFit="1" customWidth="1"/>
    <col min="18" max="18" width="16.58203125" style="9" bestFit="1" customWidth="1"/>
    <col min="19" max="19" width="24.75" style="9" bestFit="1" customWidth="1"/>
    <col min="20" max="20" width="15.08203125" style="9" bestFit="1" customWidth="1"/>
    <col min="21" max="24" width="25.5" style="9" bestFit="1" customWidth="1"/>
    <col min="25" max="25" width="15.08203125" style="11" bestFit="1" customWidth="1"/>
    <col min="26" max="26" width="19.25" style="11" bestFit="1" customWidth="1"/>
    <col min="27" max="27" width="19.25" style="9" customWidth="1"/>
    <col min="28" max="28" width="13" style="9" bestFit="1" customWidth="1"/>
    <col min="29" max="30" width="8.6640625" style="9"/>
    <col min="31" max="31" width="18.25" style="9" bestFit="1" customWidth="1"/>
    <col min="32" max="32" width="15.83203125" style="9" bestFit="1" customWidth="1"/>
    <col min="33" max="33" width="8.6640625" style="9"/>
    <col min="34" max="37" width="18.25" style="9" bestFit="1" customWidth="1"/>
    <col min="38" max="38" width="12.33203125" style="9" bestFit="1" customWidth="1"/>
    <col min="39" max="39" width="16.25" style="9" bestFit="1" customWidth="1"/>
    <col min="40" max="16384" width="8.6640625" style="9"/>
  </cols>
  <sheetData>
    <row r="1" spans="1:39" ht="16.5" x14ac:dyDescent="0.3">
      <c r="A1" s="13" t="s">
        <v>357</v>
      </c>
      <c r="B1" s="13"/>
      <c r="E1" s="13" t="s">
        <v>434</v>
      </c>
      <c r="F1" s="13"/>
      <c r="G1" s="13"/>
      <c r="H1" s="13"/>
      <c r="I1" s="13"/>
      <c r="J1" s="9" t="s">
        <v>432</v>
      </c>
      <c r="K1" s="9" t="s">
        <v>433</v>
      </c>
      <c r="L1" s="9" t="s">
        <v>435</v>
      </c>
      <c r="M1" s="10" t="s">
        <v>436</v>
      </c>
      <c r="Q1" s="13" t="s">
        <v>357</v>
      </c>
      <c r="R1" s="13"/>
      <c r="U1" s="9" t="s">
        <v>422</v>
      </c>
      <c r="V1" s="9" t="s">
        <v>423</v>
      </c>
      <c r="W1" s="9" t="s">
        <v>424</v>
      </c>
      <c r="X1" s="9" t="s">
        <v>425</v>
      </c>
      <c r="Y1" s="11" t="s">
        <v>431</v>
      </c>
      <c r="Z1" s="11" t="s">
        <v>439</v>
      </c>
      <c r="AA1" s="9" t="s">
        <v>435</v>
      </c>
      <c r="AE1" s="14" t="s">
        <v>357</v>
      </c>
      <c r="AF1" s="14"/>
      <c r="AG1" s="12"/>
      <c r="AH1" s="12" t="s">
        <v>503</v>
      </c>
      <c r="AI1" s="12" t="s">
        <v>504</v>
      </c>
      <c r="AJ1" s="12" t="s">
        <v>505</v>
      </c>
      <c r="AK1" s="12" t="s">
        <v>506</v>
      </c>
      <c r="AL1" s="12" t="s">
        <v>507</v>
      </c>
      <c r="AM1" s="12" t="s">
        <v>508</v>
      </c>
    </row>
    <row r="2" spans="1:39" x14ac:dyDescent="0.3">
      <c r="A2" s="9" t="s">
        <v>358</v>
      </c>
      <c r="B2" s="9" t="s">
        <v>359</v>
      </c>
      <c r="C2" s="9" t="s">
        <v>497</v>
      </c>
      <c r="D2" s="9" t="s">
        <v>366</v>
      </c>
      <c r="E2" s="9" t="s">
        <v>367</v>
      </c>
      <c r="F2" s="9" t="s">
        <v>368</v>
      </c>
      <c r="G2" s="9" t="s">
        <v>369</v>
      </c>
      <c r="H2" s="9" t="s">
        <v>370</v>
      </c>
      <c r="I2" s="9" t="s">
        <v>371</v>
      </c>
      <c r="J2" s="9" t="s">
        <v>392</v>
      </c>
      <c r="K2" s="9" t="s">
        <v>438</v>
      </c>
      <c r="L2" s="9" t="s">
        <v>393</v>
      </c>
      <c r="M2" s="9" t="s">
        <v>394</v>
      </c>
      <c r="N2" s="9" t="s">
        <v>500</v>
      </c>
      <c r="Q2" s="9" t="s">
        <v>401</v>
      </c>
      <c r="R2" s="9" t="s">
        <v>402</v>
      </c>
      <c r="S2" s="9" t="s">
        <v>498</v>
      </c>
      <c r="T2" s="9" t="s">
        <v>499</v>
      </c>
      <c r="U2" s="9" t="s">
        <v>426</v>
      </c>
      <c r="V2" s="9" t="s">
        <v>427</v>
      </c>
      <c r="W2" s="9" t="s">
        <v>428</v>
      </c>
      <c r="X2" s="9" t="s">
        <v>429</v>
      </c>
      <c r="Y2" s="11" t="s">
        <v>430</v>
      </c>
      <c r="Z2" s="11" t="s">
        <v>437</v>
      </c>
      <c r="AA2" s="9" t="s">
        <v>441</v>
      </c>
      <c r="AB2" s="9" t="s">
        <v>501</v>
      </c>
      <c r="AE2" s="12" t="s">
        <v>509</v>
      </c>
      <c r="AF2" s="12" t="s">
        <v>510</v>
      </c>
      <c r="AG2" s="12" t="s">
        <v>511</v>
      </c>
      <c r="AH2" s="12" t="s">
        <v>512</v>
      </c>
      <c r="AI2" s="12" t="s">
        <v>513</v>
      </c>
      <c r="AJ2" s="12" t="s">
        <v>514</v>
      </c>
      <c r="AK2" s="12" t="s">
        <v>515</v>
      </c>
      <c r="AL2" s="12" t="s">
        <v>516</v>
      </c>
      <c r="AM2" s="12" t="s">
        <v>517</v>
      </c>
    </row>
    <row r="3" spans="1:39" x14ac:dyDescent="0.3">
      <c r="A3" s="9" t="s">
        <v>365</v>
      </c>
      <c r="B3" s="9" t="s">
        <v>407</v>
      </c>
      <c r="C3" s="9" t="s">
        <v>502</v>
      </c>
      <c r="D3" s="9" t="s">
        <v>360</v>
      </c>
      <c r="E3" s="9" t="s">
        <v>372</v>
      </c>
      <c r="F3" s="9" t="s">
        <v>373</v>
      </c>
      <c r="G3" s="9" t="s">
        <v>374</v>
      </c>
      <c r="H3" s="9" t="s">
        <v>374</v>
      </c>
      <c r="I3" s="9" t="s">
        <v>374</v>
      </c>
      <c r="J3" s="9" t="s">
        <v>396</v>
      </c>
      <c r="K3" s="9" t="s">
        <v>397</v>
      </c>
      <c r="L3" s="9" t="s">
        <v>398</v>
      </c>
      <c r="M3" s="9" t="s">
        <v>395</v>
      </c>
      <c r="N3" s="9" t="s">
        <v>400</v>
      </c>
      <c r="Q3" s="9" t="s">
        <v>403</v>
      </c>
      <c r="R3" s="9" t="s">
        <v>405</v>
      </c>
      <c r="S3" s="9" t="s">
        <v>408</v>
      </c>
      <c r="T3" s="9" t="s">
        <v>493</v>
      </c>
      <c r="U3" s="9" t="s">
        <v>494</v>
      </c>
      <c r="V3" s="9" t="s">
        <v>481</v>
      </c>
      <c r="W3" s="9" t="s">
        <v>495</v>
      </c>
      <c r="X3" s="9" t="s">
        <v>496</v>
      </c>
      <c r="Y3" s="11">
        <v>22000</v>
      </c>
      <c r="Z3" s="11">
        <f>Y3*0.4</f>
        <v>8800</v>
      </c>
      <c r="AA3" s="9" t="s">
        <v>442</v>
      </c>
      <c r="AB3" s="9" t="s">
        <v>440</v>
      </c>
      <c r="AE3" s="12" t="s">
        <v>403</v>
      </c>
      <c r="AF3" s="12" t="s">
        <v>404</v>
      </c>
      <c r="AG3" s="12" t="s">
        <v>518</v>
      </c>
      <c r="AH3" s="12">
        <v>270</v>
      </c>
      <c r="AI3" s="12">
        <v>270</v>
      </c>
      <c r="AJ3" s="12">
        <v>300</v>
      </c>
      <c r="AK3" s="12">
        <v>420</v>
      </c>
      <c r="AL3" s="12">
        <v>210000</v>
      </c>
      <c r="AM3" s="12">
        <v>10</v>
      </c>
    </row>
    <row r="4" spans="1:39" x14ac:dyDescent="0.3">
      <c r="A4" s="9" t="s">
        <v>365</v>
      </c>
      <c r="B4" s="9" t="s">
        <v>407</v>
      </c>
      <c r="C4" s="9" t="s">
        <v>406</v>
      </c>
      <c r="D4" s="9" t="s">
        <v>361</v>
      </c>
      <c r="E4" s="9" t="s">
        <v>375</v>
      </c>
      <c r="F4" s="9" t="s">
        <v>376</v>
      </c>
      <c r="G4" s="9" t="s">
        <v>377</v>
      </c>
      <c r="H4" s="9" t="s">
        <v>378</v>
      </c>
      <c r="I4" s="9" t="s">
        <v>379</v>
      </c>
      <c r="J4" s="9" t="s">
        <v>396</v>
      </c>
      <c r="K4" s="9" t="s">
        <v>397</v>
      </c>
      <c r="L4" s="9" t="s">
        <v>398</v>
      </c>
      <c r="M4" s="9" t="s">
        <v>395</v>
      </c>
      <c r="N4" s="9" t="s">
        <v>400</v>
      </c>
      <c r="Q4" s="9" t="s">
        <v>403</v>
      </c>
      <c r="R4" s="9" t="s">
        <v>405</v>
      </c>
      <c r="S4" s="9" t="s">
        <v>408</v>
      </c>
      <c r="T4" s="9" t="s">
        <v>409</v>
      </c>
      <c r="U4" s="9" t="s">
        <v>443</v>
      </c>
      <c r="V4" s="9" t="s">
        <v>444</v>
      </c>
      <c r="W4" s="9" t="s">
        <v>445</v>
      </c>
      <c r="X4" s="9" t="s">
        <v>482</v>
      </c>
      <c r="Y4" s="11">
        <v>25500</v>
      </c>
      <c r="Z4" s="11">
        <f t="shared" ref="Z4:Z16" si="0">Y4*0.4</f>
        <v>10200</v>
      </c>
      <c r="AA4" s="9" t="s">
        <v>442</v>
      </c>
      <c r="AB4" s="9" t="s">
        <v>440</v>
      </c>
      <c r="AE4" s="12" t="s">
        <v>403</v>
      </c>
      <c r="AF4" s="12" t="s">
        <v>404</v>
      </c>
      <c r="AG4" s="12" t="s">
        <v>519</v>
      </c>
      <c r="AH4" s="12">
        <v>300</v>
      </c>
      <c r="AI4" s="12">
        <v>300</v>
      </c>
      <c r="AJ4" s="12">
        <v>335</v>
      </c>
      <c r="AK4" s="12">
        <v>455</v>
      </c>
      <c r="AL4" s="12">
        <v>200000</v>
      </c>
      <c r="AM4" s="12">
        <v>7.5</v>
      </c>
    </row>
    <row r="5" spans="1:39" x14ac:dyDescent="0.3">
      <c r="A5" s="9" t="s">
        <v>365</v>
      </c>
      <c r="B5" s="9" t="s">
        <v>407</v>
      </c>
      <c r="C5" s="9" t="s">
        <v>406</v>
      </c>
      <c r="D5" s="9" t="s">
        <v>362</v>
      </c>
      <c r="E5" s="9" t="s">
        <v>380</v>
      </c>
      <c r="F5" s="9" t="s">
        <v>381</v>
      </c>
      <c r="G5" s="9" t="s">
        <v>382</v>
      </c>
      <c r="H5" s="9" t="s">
        <v>383</v>
      </c>
      <c r="I5" s="9" t="s">
        <v>383</v>
      </c>
      <c r="J5" s="9" t="s">
        <v>396</v>
      </c>
      <c r="K5" s="9" t="s">
        <v>397</v>
      </c>
      <c r="L5" s="9" t="s">
        <v>398</v>
      </c>
      <c r="M5" s="9" t="s">
        <v>395</v>
      </c>
      <c r="N5" s="9" t="s">
        <v>399</v>
      </c>
      <c r="Q5" s="9" t="s">
        <v>403</v>
      </c>
      <c r="R5" s="9" t="s">
        <v>405</v>
      </c>
      <c r="S5" s="9" t="s">
        <v>408</v>
      </c>
      <c r="T5" s="9" t="s">
        <v>410</v>
      </c>
      <c r="U5" s="9" t="s">
        <v>446</v>
      </c>
      <c r="V5" s="9" t="s">
        <v>458</v>
      </c>
      <c r="W5" s="9" t="s">
        <v>470</v>
      </c>
      <c r="X5" s="9" t="s">
        <v>481</v>
      </c>
      <c r="Y5" s="11">
        <v>28000</v>
      </c>
      <c r="Z5" s="11">
        <f t="shared" si="0"/>
        <v>11200</v>
      </c>
      <c r="AA5" s="9" t="s">
        <v>442</v>
      </c>
      <c r="AB5" s="9" t="s">
        <v>440</v>
      </c>
      <c r="AE5" s="12" t="s">
        <v>403</v>
      </c>
      <c r="AF5" s="12" t="s">
        <v>404</v>
      </c>
      <c r="AG5" s="12" t="s">
        <v>520</v>
      </c>
      <c r="AH5" s="12">
        <v>360</v>
      </c>
      <c r="AI5" s="12">
        <v>360</v>
      </c>
      <c r="AJ5" s="12">
        <v>400</v>
      </c>
      <c r="AK5" s="12">
        <v>540</v>
      </c>
      <c r="AL5" s="12">
        <v>200000</v>
      </c>
      <c r="AM5" s="12">
        <v>7.5</v>
      </c>
    </row>
    <row r="6" spans="1:39" x14ac:dyDescent="0.3">
      <c r="A6" s="9" t="s">
        <v>365</v>
      </c>
      <c r="B6" s="9" t="s">
        <v>407</v>
      </c>
      <c r="C6" s="9" t="s">
        <v>406</v>
      </c>
      <c r="D6" s="9" t="s">
        <v>363</v>
      </c>
      <c r="E6" s="9" t="s">
        <v>385</v>
      </c>
      <c r="F6" s="9" t="s">
        <v>384</v>
      </c>
      <c r="G6" s="9" t="s">
        <v>386</v>
      </c>
      <c r="H6" s="9" t="s">
        <v>387</v>
      </c>
      <c r="I6" s="9" t="s">
        <v>387</v>
      </c>
      <c r="J6" s="9" t="s">
        <v>396</v>
      </c>
      <c r="K6" s="9" t="s">
        <v>397</v>
      </c>
      <c r="L6" s="9" t="s">
        <v>398</v>
      </c>
      <c r="M6" s="9" t="s">
        <v>395</v>
      </c>
      <c r="N6" s="9" t="s">
        <v>399</v>
      </c>
      <c r="Q6" s="9" t="s">
        <v>403</v>
      </c>
      <c r="R6" s="9" t="s">
        <v>404</v>
      </c>
      <c r="S6" s="9" t="s">
        <v>408</v>
      </c>
      <c r="T6" s="9" t="s">
        <v>411</v>
      </c>
      <c r="U6" s="9" t="s">
        <v>447</v>
      </c>
      <c r="V6" s="9" t="s">
        <v>459</v>
      </c>
      <c r="W6" s="9" t="s">
        <v>471</v>
      </c>
      <c r="X6" s="9" t="s">
        <v>483</v>
      </c>
      <c r="Y6" s="11">
        <v>30000</v>
      </c>
      <c r="Z6" s="11">
        <f t="shared" si="0"/>
        <v>12000</v>
      </c>
      <c r="AA6" s="9" t="s">
        <v>442</v>
      </c>
      <c r="AB6" s="9" t="s">
        <v>440</v>
      </c>
      <c r="AE6" s="12" t="s">
        <v>403</v>
      </c>
      <c r="AF6" s="12" t="s">
        <v>404</v>
      </c>
      <c r="AG6" s="12" t="s">
        <v>521</v>
      </c>
      <c r="AH6" s="12">
        <v>360</v>
      </c>
      <c r="AI6" s="12">
        <v>360</v>
      </c>
      <c r="AJ6" s="12">
        <v>400</v>
      </c>
      <c r="AK6" s="12">
        <v>540</v>
      </c>
      <c r="AL6" s="12">
        <v>200000</v>
      </c>
      <c r="AM6" s="12">
        <v>7.5</v>
      </c>
    </row>
    <row r="7" spans="1:39" x14ac:dyDescent="0.3">
      <c r="A7" s="9" t="s">
        <v>365</v>
      </c>
      <c r="B7" s="9" t="s">
        <v>407</v>
      </c>
      <c r="C7" s="9" t="s">
        <v>406</v>
      </c>
      <c r="D7" s="9" t="s">
        <v>364</v>
      </c>
      <c r="E7" s="9" t="s">
        <v>388</v>
      </c>
      <c r="F7" s="9" t="s">
        <v>389</v>
      </c>
      <c r="G7" s="9" t="s">
        <v>390</v>
      </c>
      <c r="H7" s="9" t="s">
        <v>391</v>
      </c>
      <c r="I7" s="9" t="s">
        <v>391</v>
      </c>
      <c r="J7" s="9" t="s">
        <v>396</v>
      </c>
      <c r="K7" s="9" t="s">
        <v>397</v>
      </c>
      <c r="L7" s="9" t="s">
        <v>398</v>
      </c>
      <c r="M7" s="9" t="s">
        <v>395</v>
      </c>
      <c r="N7" s="9" t="s">
        <v>399</v>
      </c>
      <c r="Q7" s="9" t="s">
        <v>403</v>
      </c>
      <c r="R7" s="9" t="s">
        <v>404</v>
      </c>
      <c r="S7" s="9" t="s">
        <v>408</v>
      </c>
      <c r="T7" s="9" t="s">
        <v>412</v>
      </c>
      <c r="U7" s="9" t="s">
        <v>448</v>
      </c>
      <c r="V7" s="9" t="s">
        <v>460</v>
      </c>
      <c r="W7" s="9" t="s">
        <v>446</v>
      </c>
      <c r="X7" s="9" t="s">
        <v>484</v>
      </c>
      <c r="Y7" s="11">
        <v>31500</v>
      </c>
      <c r="Z7" s="11">
        <f t="shared" si="0"/>
        <v>12600</v>
      </c>
      <c r="AA7" s="9" t="s">
        <v>442</v>
      </c>
      <c r="AB7" s="9" t="s">
        <v>440</v>
      </c>
      <c r="AE7" s="12" t="s">
        <v>403</v>
      </c>
      <c r="AF7" s="12" t="s">
        <v>404</v>
      </c>
      <c r="AG7" s="12" t="s">
        <v>522</v>
      </c>
      <c r="AH7" s="12">
        <v>360</v>
      </c>
      <c r="AI7" s="12">
        <v>360</v>
      </c>
      <c r="AJ7" s="12">
        <v>400</v>
      </c>
      <c r="AK7" s="12">
        <v>540</v>
      </c>
      <c r="AL7" s="12">
        <v>200000</v>
      </c>
      <c r="AM7" s="12">
        <v>5</v>
      </c>
    </row>
    <row r="8" spans="1:39" x14ac:dyDescent="0.3">
      <c r="Q8" s="9" t="s">
        <v>403</v>
      </c>
      <c r="R8" s="9" t="s">
        <v>404</v>
      </c>
      <c r="S8" s="9" t="s">
        <v>408</v>
      </c>
      <c r="T8" s="9" t="s">
        <v>413</v>
      </c>
      <c r="U8" s="9" t="s">
        <v>449</v>
      </c>
      <c r="V8" s="9" t="s">
        <v>461</v>
      </c>
      <c r="W8" s="9" t="s">
        <v>472</v>
      </c>
      <c r="X8" s="9" t="s">
        <v>485</v>
      </c>
      <c r="Y8" s="11">
        <v>32500</v>
      </c>
      <c r="Z8" s="11">
        <f t="shared" si="0"/>
        <v>13000</v>
      </c>
      <c r="AA8" s="9" t="s">
        <v>442</v>
      </c>
      <c r="AB8" s="9" t="s">
        <v>440</v>
      </c>
      <c r="AE8" s="12" t="s">
        <v>403</v>
      </c>
      <c r="AF8" s="12" t="s">
        <v>404</v>
      </c>
      <c r="AG8" s="12" t="s">
        <v>523</v>
      </c>
      <c r="AH8" s="12">
        <v>435</v>
      </c>
      <c r="AI8" s="12">
        <v>435</v>
      </c>
      <c r="AJ8" s="12">
        <v>500</v>
      </c>
      <c r="AK8" s="12">
        <v>630</v>
      </c>
      <c r="AL8" s="12">
        <v>200000</v>
      </c>
      <c r="AM8" s="12">
        <v>7.5</v>
      </c>
    </row>
    <row r="9" spans="1:39" x14ac:dyDescent="0.3">
      <c r="Q9" s="9" t="s">
        <v>403</v>
      </c>
      <c r="R9" s="9" t="s">
        <v>404</v>
      </c>
      <c r="S9" s="9" t="s">
        <v>408</v>
      </c>
      <c r="T9" s="9" t="s">
        <v>414</v>
      </c>
      <c r="U9" s="9" t="s">
        <v>450</v>
      </c>
      <c r="V9" s="9" t="s">
        <v>462</v>
      </c>
      <c r="W9" s="9" t="s">
        <v>473</v>
      </c>
      <c r="X9" s="9" t="s">
        <v>486</v>
      </c>
      <c r="Y9" s="11">
        <v>33500</v>
      </c>
      <c r="Z9" s="11">
        <f t="shared" si="0"/>
        <v>13400</v>
      </c>
      <c r="AA9" s="9" t="s">
        <v>442</v>
      </c>
      <c r="AB9" s="9" t="s">
        <v>440</v>
      </c>
      <c r="AE9" s="12" t="s">
        <v>403</v>
      </c>
      <c r="AF9" s="12" t="s">
        <v>404</v>
      </c>
      <c r="AG9" s="12" t="s">
        <v>524</v>
      </c>
      <c r="AH9" s="12">
        <v>435</v>
      </c>
      <c r="AI9" s="12">
        <v>435</v>
      </c>
      <c r="AJ9" s="12">
        <v>500</v>
      </c>
      <c r="AK9" s="12">
        <v>630</v>
      </c>
      <c r="AL9" s="12">
        <v>200000</v>
      </c>
      <c r="AM9" s="12">
        <v>7.5</v>
      </c>
    </row>
    <row r="10" spans="1:39" x14ac:dyDescent="0.3">
      <c r="Q10" s="9" t="s">
        <v>403</v>
      </c>
      <c r="R10" s="9" t="s">
        <v>404</v>
      </c>
      <c r="S10" s="9" t="s">
        <v>408</v>
      </c>
      <c r="T10" s="9" t="s">
        <v>415</v>
      </c>
      <c r="U10" s="9" t="s">
        <v>451</v>
      </c>
      <c r="V10" s="9" t="s">
        <v>463</v>
      </c>
      <c r="W10" s="9" t="s">
        <v>474</v>
      </c>
      <c r="X10" s="9" t="s">
        <v>525</v>
      </c>
      <c r="Y10" s="11">
        <v>34500</v>
      </c>
      <c r="Z10" s="11">
        <f t="shared" si="0"/>
        <v>13800</v>
      </c>
      <c r="AA10" s="9" t="s">
        <v>442</v>
      </c>
      <c r="AB10" s="9" t="s">
        <v>440</v>
      </c>
    </row>
    <row r="11" spans="1:39" x14ac:dyDescent="0.3">
      <c r="Q11" s="9" t="s">
        <v>403</v>
      </c>
      <c r="R11" s="9" t="s">
        <v>404</v>
      </c>
      <c r="S11" s="9" t="s">
        <v>408</v>
      </c>
      <c r="T11" s="9" t="s">
        <v>416</v>
      </c>
      <c r="U11" s="9" t="s">
        <v>452</v>
      </c>
      <c r="V11" s="9" t="s">
        <v>464</v>
      </c>
      <c r="W11" s="9" t="s">
        <v>475</v>
      </c>
      <c r="X11" s="9" t="s">
        <v>487</v>
      </c>
      <c r="Y11" s="11">
        <v>35500</v>
      </c>
      <c r="Z11" s="11">
        <f t="shared" si="0"/>
        <v>14200</v>
      </c>
      <c r="AA11" s="9" t="s">
        <v>442</v>
      </c>
      <c r="AB11" s="9" t="s">
        <v>440</v>
      </c>
    </row>
    <row r="12" spans="1:39" x14ac:dyDescent="0.3">
      <c r="Q12" s="9" t="s">
        <v>403</v>
      </c>
      <c r="R12" s="9" t="s">
        <v>404</v>
      </c>
      <c r="S12" s="9" t="s">
        <v>408</v>
      </c>
      <c r="T12" s="9" t="s">
        <v>417</v>
      </c>
      <c r="U12" s="9" t="s">
        <v>453</v>
      </c>
      <c r="V12" s="9" t="s">
        <v>465</v>
      </c>
      <c r="W12" s="9" t="s">
        <v>476</v>
      </c>
      <c r="X12" s="9" t="s">
        <v>488</v>
      </c>
      <c r="Y12" s="11">
        <v>36000</v>
      </c>
      <c r="Z12" s="11">
        <f t="shared" si="0"/>
        <v>14400</v>
      </c>
      <c r="AA12" s="9" t="s">
        <v>442</v>
      </c>
      <c r="AB12" s="9" t="s">
        <v>440</v>
      </c>
    </row>
    <row r="13" spans="1:39" x14ac:dyDescent="0.3">
      <c r="Q13" s="9" t="s">
        <v>403</v>
      </c>
      <c r="R13" s="9" t="s">
        <v>404</v>
      </c>
      <c r="S13" s="9" t="s">
        <v>408</v>
      </c>
      <c r="T13" s="9" t="s">
        <v>418</v>
      </c>
      <c r="U13" s="9" t="s">
        <v>454</v>
      </c>
      <c r="V13" s="9" t="s">
        <v>466</v>
      </c>
      <c r="W13" s="9" t="s">
        <v>477</v>
      </c>
      <c r="X13" s="9" t="s">
        <v>489</v>
      </c>
      <c r="Y13" s="11">
        <v>36500</v>
      </c>
      <c r="Z13" s="11">
        <f t="shared" si="0"/>
        <v>14600</v>
      </c>
      <c r="AA13" s="9" t="s">
        <v>442</v>
      </c>
      <c r="AB13" s="9" t="s">
        <v>440</v>
      </c>
    </row>
    <row r="14" spans="1:39" x14ac:dyDescent="0.3">
      <c r="Q14" s="9" t="s">
        <v>403</v>
      </c>
      <c r="R14" s="9" t="s">
        <v>404</v>
      </c>
      <c r="S14" s="9" t="s">
        <v>408</v>
      </c>
      <c r="T14" s="9" t="s">
        <v>419</v>
      </c>
      <c r="U14" s="9" t="s">
        <v>455</v>
      </c>
      <c r="V14" s="9" t="s">
        <v>467</v>
      </c>
      <c r="W14" s="9" t="s">
        <v>478</v>
      </c>
      <c r="X14" s="9" t="s">
        <v>490</v>
      </c>
      <c r="Y14" s="11">
        <v>37000</v>
      </c>
      <c r="Z14" s="11">
        <f t="shared" si="0"/>
        <v>14800</v>
      </c>
      <c r="AA14" s="9" t="s">
        <v>442</v>
      </c>
      <c r="AB14" s="9" t="s">
        <v>440</v>
      </c>
    </row>
    <row r="15" spans="1:39" x14ac:dyDescent="0.3">
      <c r="Q15" s="9" t="s">
        <v>403</v>
      </c>
      <c r="R15" s="9" t="s">
        <v>404</v>
      </c>
      <c r="S15" s="9" t="s">
        <v>408</v>
      </c>
      <c r="T15" s="9" t="s">
        <v>420</v>
      </c>
      <c r="U15" s="9" t="s">
        <v>456</v>
      </c>
      <c r="V15" s="9" t="s">
        <v>468</v>
      </c>
      <c r="W15" s="9" t="s">
        <v>479</v>
      </c>
      <c r="X15" s="9" t="s">
        <v>491</v>
      </c>
      <c r="Y15" s="11">
        <v>37500</v>
      </c>
      <c r="Z15" s="11">
        <f t="shared" si="0"/>
        <v>15000</v>
      </c>
      <c r="AA15" s="9" t="s">
        <v>442</v>
      </c>
      <c r="AB15" s="9" t="s">
        <v>440</v>
      </c>
    </row>
    <row r="16" spans="1:39" x14ac:dyDescent="0.3">
      <c r="Q16" s="9" t="s">
        <v>403</v>
      </c>
      <c r="R16" s="9" t="s">
        <v>404</v>
      </c>
      <c r="S16" s="9" t="s">
        <v>408</v>
      </c>
      <c r="T16" s="9" t="s">
        <v>421</v>
      </c>
      <c r="U16" s="9" t="s">
        <v>457</v>
      </c>
      <c r="V16" s="9" t="s">
        <v>469</v>
      </c>
      <c r="W16" s="9" t="s">
        <v>480</v>
      </c>
      <c r="X16" s="9" t="s">
        <v>492</v>
      </c>
      <c r="Y16" s="11">
        <v>38000</v>
      </c>
      <c r="Z16" s="11">
        <f t="shared" si="0"/>
        <v>15200</v>
      </c>
      <c r="AA16" s="9" t="s">
        <v>442</v>
      </c>
      <c r="AB16" s="9" t="s">
        <v>440</v>
      </c>
    </row>
  </sheetData>
  <mergeCells count="4">
    <mergeCell ref="A1:B1"/>
    <mergeCell ref="E1:I1"/>
    <mergeCell ref="Q1:R1"/>
    <mergeCell ref="AE1:AF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7A2AD-9D6A-44FC-B296-EAB11AAB3D93}">
  <dimension ref="A1:O36"/>
  <sheetViews>
    <sheetView zoomScaleNormal="100" workbookViewId="0">
      <selection activeCell="G10" sqref="G10"/>
    </sheetView>
  </sheetViews>
  <sheetFormatPr defaultRowHeight="14" x14ac:dyDescent="0.3"/>
  <cols>
    <col min="3" max="4" width="12.75" customWidth="1"/>
    <col min="13" max="14" width="8.9140625" customWidth="1"/>
  </cols>
  <sheetData>
    <row r="1" spans="1:15" x14ac:dyDescent="0.3">
      <c r="A1" s="2" t="s">
        <v>96</v>
      </c>
      <c r="B1" s="3" t="s">
        <v>97</v>
      </c>
      <c r="C1" s="3" t="s">
        <v>114</v>
      </c>
      <c r="D1" s="3" t="s">
        <v>116</v>
      </c>
      <c r="E1" s="3" t="s">
        <v>118</v>
      </c>
      <c r="F1" s="3" t="s">
        <v>124</v>
      </c>
      <c r="G1" s="3" t="s">
        <v>120</v>
      </c>
      <c r="H1" s="3" t="s">
        <v>122</v>
      </c>
      <c r="I1" s="3" t="s">
        <v>126</v>
      </c>
      <c r="J1" s="3" t="s">
        <v>103</v>
      </c>
      <c r="K1" s="3" t="s">
        <v>104</v>
      </c>
      <c r="L1" s="5" t="s">
        <v>109</v>
      </c>
      <c r="M1" s="3" t="s">
        <v>111</v>
      </c>
      <c r="N1" s="3" t="s">
        <v>106</v>
      </c>
      <c r="O1" s="3" t="s">
        <v>107</v>
      </c>
    </row>
    <row r="2" spans="1:15" x14ac:dyDescent="0.3">
      <c r="A2" t="s">
        <v>11</v>
      </c>
      <c r="B2">
        <v>1433.3</v>
      </c>
      <c r="C2">
        <v>2450926.1</v>
      </c>
      <c r="D2">
        <v>327787.2</v>
      </c>
      <c r="E2">
        <f>ROUND(C2/J2*2,1)</f>
        <v>49018.5</v>
      </c>
      <c r="F2">
        <f>ROUND(D2/K2*2,1)</f>
        <v>9640.7999999999993</v>
      </c>
      <c r="G2">
        <f>ROUND((C2/B2)^0.5,1)</f>
        <v>41.4</v>
      </c>
      <c r="H2">
        <f>ROUND((D2/B2)^0.5,1)</f>
        <v>15.1</v>
      </c>
      <c r="I2">
        <f>ROUND(0.00785*B2,3)</f>
        <v>11.250999999999999</v>
      </c>
      <c r="J2">
        <v>100</v>
      </c>
      <c r="K2">
        <v>68</v>
      </c>
      <c r="L2">
        <v>4.5</v>
      </c>
      <c r="M2">
        <v>7.6</v>
      </c>
      <c r="N2">
        <v>6.5</v>
      </c>
      <c r="O2">
        <v>3.3</v>
      </c>
    </row>
    <row r="3" spans="1:15" x14ac:dyDescent="0.3">
      <c r="A3" t="s">
        <v>12</v>
      </c>
      <c r="B3">
        <v>1780.4</v>
      </c>
      <c r="C3">
        <v>4359254.3</v>
      </c>
      <c r="D3">
        <v>469335.4</v>
      </c>
      <c r="E3">
        <f t="shared" ref="E3:E36" si="0">ROUND(C3/J3*2,1)</f>
        <v>72654.2</v>
      </c>
      <c r="F3">
        <f t="shared" ref="F3:F36" si="1">ROUND(D3/K3*2,1)</f>
        <v>12684.7</v>
      </c>
      <c r="G3">
        <f t="shared" ref="G3:G36" si="2">ROUND((C3/B3)^0.5,1)</f>
        <v>49.5</v>
      </c>
      <c r="H3">
        <f t="shared" ref="H3:H36" si="3">ROUND((D3/B3)^0.5,1)</f>
        <v>16.2</v>
      </c>
      <c r="I3">
        <f t="shared" ref="I3:I36" si="4">ROUND(0.00785*B3,3)</f>
        <v>13.976000000000001</v>
      </c>
      <c r="J3">
        <v>120</v>
      </c>
      <c r="K3">
        <v>74</v>
      </c>
      <c r="L3">
        <v>5</v>
      </c>
      <c r="M3">
        <v>8.4</v>
      </c>
      <c r="N3">
        <v>7</v>
      </c>
      <c r="O3">
        <v>3.5</v>
      </c>
    </row>
    <row r="4" spans="1:15" x14ac:dyDescent="0.3">
      <c r="A4" t="s">
        <v>13</v>
      </c>
      <c r="B4">
        <v>1810.4</v>
      </c>
      <c r="C4">
        <v>4879065.4000000004</v>
      </c>
      <c r="D4">
        <v>469397.7</v>
      </c>
      <c r="E4">
        <f t="shared" si="0"/>
        <v>77445.5</v>
      </c>
      <c r="F4">
        <f t="shared" si="1"/>
        <v>12686.4</v>
      </c>
      <c r="G4">
        <f t="shared" si="2"/>
        <v>51.9</v>
      </c>
      <c r="H4">
        <f t="shared" si="3"/>
        <v>16.100000000000001</v>
      </c>
      <c r="I4">
        <f t="shared" si="4"/>
        <v>14.212</v>
      </c>
      <c r="J4">
        <v>126</v>
      </c>
      <c r="K4">
        <v>74</v>
      </c>
      <c r="L4">
        <v>5</v>
      </c>
      <c r="M4">
        <v>8.4</v>
      </c>
      <c r="N4">
        <v>7</v>
      </c>
      <c r="O4">
        <v>3.5</v>
      </c>
    </row>
    <row r="5" spans="1:15" x14ac:dyDescent="0.3">
      <c r="A5" t="s">
        <v>14</v>
      </c>
      <c r="B5">
        <v>2150.1</v>
      </c>
      <c r="C5">
        <v>7115677.5999999996</v>
      </c>
      <c r="D5">
        <v>643189.5</v>
      </c>
      <c r="E5">
        <f t="shared" si="0"/>
        <v>101652.5</v>
      </c>
      <c r="F5">
        <f t="shared" si="1"/>
        <v>16079.7</v>
      </c>
      <c r="G5">
        <f t="shared" si="2"/>
        <v>57.5</v>
      </c>
      <c r="H5">
        <f t="shared" si="3"/>
        <v>17.3</v>
      </c>
      <c r="I5">
        <f t="shared" si="4"/>
        <v>16.878</v>
      </c>
      <c r="J5">
        <v>140</v>
      </c>
      <c r="K5">
        <v>80</v>
      </c>
      <c r="L5">
        <v>5.5</v>
      </c>
      <c r="M5">
        <v>9.1</v>
      </c>
      <c r="N5">
        <v>7.5</v>
      </c>
      <c r="O5">
        <v>3.8</v>
      </c>
    </row>
    <row r="6" spans="1:15" x14ac:dyDescent="0.3">
      <c r="A6" t="s">
        <v>15</v>
      </c>
      <c r="B6">
        <v>2611.3000000000002</v>
      </c>
      <c r="C6">
        <v>11269073</v>
      </c>
      <c r="D6">
        <v>930478.4</v>
      </c>
      <c r="E6">
        <f t="shared" si="0"/>
        <v>140863.4</v>
      </c>
      <c r="F6">
        <f t="shared" si="1"/>
        <v>21147.200000000001</v>
      </c>
      <c r="G6">
        <f t="shared" si="2"/>
        <v>65.7</v>
      </c>
      <c r="H6">
        <f t="shared" si="3"/>
        <v>18.899999999999999</v>
      </c>
      <c r="I6">
        <f t="shared" si="4"/>
        <v>20.498999999999999</v>
      </c>
      <c r="J6">
        <v>160</v>
      </c>
      <c r="K6">
        <v>88</v>
      </c>
      <c r="L6">
        <v>6</v>
      </c>
      <c r="M6">
        <v>9.9</v>
      </c>
      <c r="N6">
        <v>8</v>
      </c>
      <c r="O6">
        <v>4</v>
      </c>
    </row>
    <row r="7" spans="1:15" x14ac:dyDescent="0.3">
      <c r="A7" t="s">
        <v>16</v>
      </c>
      <c r="B7">
        <v>3073.5</v>
      </c>
      <c r="C7">
        <v>16688968</v>
      </c>
      <c r="D7">
        <v>1229299.7</v>
      </c>
      <c r="E7">
        <f t="shared" si="0"/>
        <v>185433</v>
      </c>
      <c r="F7">
        <f t="shared" si="1"/>
        <v>26155.3</v>
      </c>
      <c r="G7">
        <f t="shared" si="2"/>
        <v>73.7</v>
      </c>
      <c r="H7">
        <f t="shared" si="3"/>
        <v>20</v>
      </c>
      <c r="I7">
        <f t="shared" si="4"/>
        <v>24.126999999999999</v>
      </c>
      <c r="J7">
        <v>180</v>
      </c>
      <c r="K7">
        <v>94</v>
      </c>
      <c r="L7">
        <v>6.5</v>
      </c>
      <c r="M7">
        <v>10.7</v>
      </c>
      <c r="N7">
        <v>8.5</v>
      </c>
      <c r="O7">
        <v>4.3</v>
      </c>
    </row>
    <row r="8" spans="1:15" x14ac:dyDescent="0.3">
      <c r="A8" t="s">
        <v>17</v>
      </c>
      <c r="B8">
        <v>3555.5</v>
      </c>
      <c r="C8">
        <v>23686558</v>
      </c>
      <c r="D8">
        <v>1579330.6</v>
      </c>
      <c r="E8">
        <f t="shared" si="0"/>
        <v>236865.6</v>
      </c>
      <c r="F8">
        <f t="shared" si="1"/>
        <v>31586.6</v>
      </c>
      <c r="G8">
        <f t="shared" si="2"/>
        <v>81.599999999999994</v>
      </c>
      <c r="H8">
        <f t="shared" si="3"/>
        <v>21.1</v>
      </c>
      <c r="I8">
        <f t="shared" si="4"/>
        <v>27.911000000000001</v>
      </c>
      <c r="J8">
        <v>200</v>
      </c>
      <c r="K8">
        <v>100</v>
      </c>
      <c r="L8">
        <v>7</v>
      </c>
      <c r="M8">
        <v>11.4</v>
      </c>
      <c r="N8">
        <v>9</v>
      </c>
      <c r="O8">
        <v>4.5</v>
      </c>
    </row>
    <row r="9" spans="1:15" x14ac:dyDescent="0.3">
      <c r="A9" t="s">
        <v>18</v>
      </c>
      <c r="B9">
        <v>3955.5</v>
      </c>
      <c r="C9">
        <v>25019891</v>
      </c>
      <c r="D9">
        <v>1689523.6</v>
      </c>
      <c r="E9">
        <f t="shared" si="0"/>
        <v>250198.9</v>
      </c>
      <c r="F9">
        <f t="shared" si="1"/>
        <v>33127.9</v>
      </c>
      <c r="G9">
        <f t="shared" si="2"/>
        <v>79.5</v>
      </c>
      <c r="H9">
        <f t="shared" si="3"/>
        <v>20.7</v>
      </c>
      <c r="I9">
        <f t="shared" si="4"/>
        <v>31.050999999999998</v>
      </c>
      <c r="J9">
        <v>200</v>
      </c>
      <c r="K9">
        <v>102</v>
      </c>
      <c r="L9">
        <v>9</v>
      </c>
      <c r="M9">
        <v>11.4</v>
      </c>
      <c r="N9">
        <v>9</v>
      </c>
      <c r="O9">
        <v>4.5</v>
      </c>
    </row>
    <row r="10" spans="1:15" x14ac:dyDescent="0.3">
      <c r="A10" t="s">
        <v>19</v>
      </c>
      <c r="B10">
        <v>4210.3</v>
      </c>
      <c r="C10">
        <v>34059321</v>
      </c>
      <c r="D10">
        <v>2258776.1</v>
      </c>
      <c r="E10">
        <f t="shared" si="0"/>
        <v>309630.2</v>
      </c>
      <c r="F10">
        <f t="shared" si="1"/>
        <v>41068.699999999997</v>
      </c>
      <c r="G10">
        <f t="shared" si="2"/>
        <v>89.9</v>
      </c>
      <c r="H10">
        <f t="shared" si="3"/>
        <v>23.2</v>
      </c>
      <c r="I10">
        <f t="shared" si="4"/>
        <v>33.051000000000002</v>
      </c>
      <c r="J10">
        <v>220</v>
      </c>
      <c r="K10">
        <v>110</v>
      </c>
      <c r="L10">
        <v>7.5</v>
      </c>
      <c r="M10">
        <v>12.3</v>
      </c>
      <c r="N10">
        <v>9.5</v>
      </c>
      <c r="O10">
        <v>4.8</v>
      </c>
    </row>
    <row r="11" spans="1:15" x14ac:dyDescent="0.3">
      <c r="A11" t="s">
        <v>20</v>
      </c>
      <c r="B11">
        <v>4650.3</v>
      </c>
      <c r="C11">
        <v>35833987</v>
      </c>
      <c r="D11">
        <v>2401633.6</v>
      </c>
      <c r="E11">
        <f t="shared" si="0"/>
        <v>325763.5</v>
      </c>
      <c r="F11">
        <f t="shared" si="1"/>
        <v>42886.3</v>
      </c>
      <c r="G11">
        <f t="shared" si="2"/>
        <v>87.8</v>
      </c>
      <c r="H11">
        <f t="shared" si="3"/>
        <v>22.7</v>
      </c>
      <c r="I11">
        <f t="shared" si="4"/>
        <v>36.505000000000003</v>
      </c>
      <c r="J11">
        <v>220</v>
      </c>
      <c r="K11">
        <v>112</v>
      </c>
      <c r="L11">
        <v>9.5</v>
      </c>
      <c r="M11">
        <v>12.3</v>
      </c>
      <c r="N11">
        <v>9.5</v>
      </c>
      <c r="O11">
        <v>4.8</v>
      </c>
    </row>
    <row r="12" spans="1:15" x14ac:dyDescent="0.3">
      <c r="A12" t="s">
        <v>21</v>
      </c>
      <c r="B12">
        <v>4851.8999999999996</v>
      </c>
      <c r="C12">
        <v>50181160</v>
      </c>
      <c r="D12">
        <v>2804979.7</v>
      </c>
      <c r="E12">
        <f t="shared" si="0"/>
        <v>401449.3</v>
      </c>
      <c r="F12">
        <f t="shared" si="1"/>
        <v>48361.7</v>
      </c>
      <c r="G12">
        <f t="shared" si="2"/>
        <v>101.7</v>
      </c>
      <c r="H12">
        <f t="shared" si="3"/>
        <v>24</v>
      </c>
      <c r="I12">
        <f t="shared" si="4"/>
        <v>38.087000000000003</v>
      </c>
      <c r="J12">
        <v>250</v>
      </c>
      <c r="K12">
        <v>116</v>
      </c>
      <c r="L12">
        <v>8</v>
      </c>
      <c r="M12">
        <v>13</v>
      </c>
      <c r="N12">
        <v>10</v>
      </c>
      <c r="O12">
        <v>5</v>
      </c>
    </row>
    <row r="13" spans="1:15" x14ac:dyDescent="0.3">
      <c r="A13" t="s">
        <v>22</v>
      </c>
      <c r="B13">
        <v>5351.9</v>
      </c>
      <c r="C13">
        <v>52785327</v>
      </c>
      <c r="D13">
        <v>2973664</v>
      </c>
      <c r="E13">
        <f t="shared" si="0"/>
        <v>422282.6</v>
      </c>
      <c r="F13">
        <f t="shared" si="1"/>
        <v>50401.1</v>
      </c>
      <c r="G13">
        <f t="shared" si="2"/>
        <v>99.3</v>
      </c>
      <c r="H13">
        <f t="shared" si="3"/>
        <v>23.6</v>
      </c>
      <c r="I13">
        <f t="shared" si="4"/>
        <v>42.012</v>
      </c>
      <c r="J13">
        <v>250</v>
      </c>
      <c r="K13">
        <v>118</v>
      </c>
      <c r="L13">
        <v>10</v>
      </c>
      <c r="M13">
        <v>13</v>
      </c>
      <c r="N13">
        <v>10</v>
      </c>
      <c r="O13">
        <v>5</v>
      </c>
    </row>
    <row r="14" spans="1:15" x14ac:dyDescent="0.3">
      <c r="A14" t="s">
        <v>23</v>
      </c>
      <c r="B14">
        <v>5537.8</v>
      </c>
      <c r="C14">
        <v>71160166</v>
      </c>
      <c r="D14">
        <v>3441164.1</v>
      </c>
      <c r="E14">
        <f t="shared" si="0"/>
        <v>508286.9</v>
      </c>
      <c r="F14">
        <f t="shared" si="1"/>
        <v>56412.5</v>
      </c>
      <c r="G14">
        <f t="shared" si="2"/>
        <v>113.4</v>
      </c>
      <c r="H14">
        <f t="shared" si="3"/>
        <v>24.9</v>
      </c>
      <c r="I14">
        <f t="shared" si="4"/>
        <v>43.472000000000001</v>
      </c>
      <c r="J14">
        <v>280</v>
      </c>
      <c r="K14">
        <v>122</v>
      </c>
      <c r="L14">
        <v>8.5</v>
      </c>
      <c r="M14">
        <v>13.7</v>
      </c>
      <c r="N14">
        <v>10.5</v>
      </c>
      <c r="O14">
        <v>5.3</v>
      </c>
    </row>
    <row r="15" spans="1:15" x14ac:dyDescent="0.3">
      <c r="A15" t="s">
        <v>24</v>
      </c>
      <c r="B15">
        <v>6097.8</v>
      </c>
      <c r="C15">
        <v>74818833</v>
      </c>
      <c r="D15">
        <v>3638479.9</v>
      </c>
      <c r="E15">
        <f t="shared" si="0"/>
        <v>534420.19999999995</v>
      </c>
      <c r="F15">
        <f t="shared" si="1"/>
        <v>58685.2</v>
      </c>
      <c r="G15">
        <f t="shared" si="2"/>
        <v>110.8</v>
      </c>
      <c r="H15">
        <f t="shared" si="3"/>
        <v>24.4</v>
      </c>
      <c r="I15">
        <f t="shared" si="4"/>
        <v>47.868000000000002</v>
      </c>
      <c r="J15">
        <v>280</v>
      </c>
      <c r="K15">
        <v>124</v>
      </c>
      <c r="L15">
        <v>10.5</v>
      </c>
      <c r="M15">
        <v>13.7</v>
      </c>
      <c r="N15">
        <v>10.5</v>
      </c>
      <c r="O15">
        <v>5.3</v>
      </c>
    </row>
    <row r="16" spans="1:15" x14ac:dyDescent="0.3">
      <c r="A16" t="s">
        <v>25</v>
      </c>
      <c r="B16">
        <v>6712.3</v>
      </c>
      <c r="C16">
        <v>110811810</v>
      </c>
      <c r="D16">
        <v>4591074.4000000004</v>
      </c>
      <c r="E16">
        <f t="shared" si="0"/>
        <v>692573.8</v>
      </c>
      <c r="F16">
        <f t="shared" si="1"/>
        <v>70631.899999999994</v>
      </c>
      <c r="G16">
        <f t="shared" si="2"/>
        <v>128.5</v>
      </c>
      <c r="H16">
        <f t="shared" si="3"/>
        <v>26.2</v>
      </c>
      <c r="I16">
        <f t="shared" si="4"/>
        <v>52.692</v>
      </c>
      <c r="J16">
        <v>320</v>
      </c>
      <c r="K16">
        <v>130</v>
      </c>
      <c r="L16">
        <v>9.5</v>
      </c>
      <c r="M16">
        <v>15</v>
      </c>
      <c r="N16">
        <v>11.5</v>
      </c>
      <c r="O16">
        <v>5.8</v>
      </c>
    </row>
    <row r="17" spans="1:15" x14ac:dyDescent="0.3">
      <c r="A17" t="s">
        <v>26</v>
      </c>
      <c r="B17">
        <v>7352.3</v>
      </c>
      <c r="C17">
        <v>116273140</v>
      </c>
      <c r="D17">
        <v>4838885.5</v>
      </c>
      <c r="E17">
        <f t="shared" si="0"/>
        <v>726707.1</v>
      </c>
      <c r="F17">
        <f t="shared" si="1"/>
        <v>73316.399999999994</v>
      </c>
      <c r="G17">
        <f t="shared" si="2"/>
        <v>125.8</v>
      </c>
      <c r="H17">
        <f t="shared" si="3"/>
        <v>25.7</v>
      </c>
      <c r="I17">
        <f t="shared" si="4"/>
        <v>57.716000000000001</v>
      </c>
      <c r="J17">
        <v>320</v>
      </c>
      <c r="K17">
        <v>132</v>
      </c>
      <c r="L17">
        <v>11.5</v>
      </c>
      <c r="M17">
        <v>15</v>
      </c>
      <c r="N17">
        <v>11.5</v>
      </c>
      <c r="O17">
        <v>5.8</v>
      </c>
    </row>
    <row r="18" spans="1:15" x14ac:dyDescent="0.3">
      <c r="A18" t="s">
        <v>27</v>
      </c>
      <c r="B18">
        <v>7992.3</v>
      </c>
      <c r="C18">
        <v>121734480</v>
      </c>
      <c r="D18">
        <v>5101401.3</v>
      </c>
      <c r="E18">
        <f t="shared" si="0"/>
        <v>760840.5</v>
      </c>
      <c r="F18">
        <f t="shared" si="1"/>
        <v>76140.3</v>
      </c>
      <c r="G18">
        <f t="shared" si="2"/>
        <v>123.4</v>
      </c>
      <c r="H18">
        <f t="shared" si="3"/>
        <v>25.3</v>
      </c>
      <c r="I18">
        <f t="shared" si="4"/>
        <v>62.74</v>
      </c>
      <c r="J18">
        <v>320</v>
      </c>
      <c r="K18">
        <v>134</v>
      </c>
      <c r="L18">
        <v>13.5</v>
      </c>
      <c r="M18">
        <v>15</v>
      </c>
      <c r="N18">
        <v>11.5</v>
      </c>
      <c r="O18">
        <v>5.8</v>
      </c>
    </row>
    <row r="19" spans="1:15" x14ac:dyDescent="0.3">
      <c r="A19" t="s">
        <v>28</v>
      </c>
      <c r="B19">
        <v>7644.6</v>
      </c>
      <c r="C19">
        <v>157978240</v>
      </c>
      <c r="D19">
        <v>5550307.5999999996</v>
      </c>
      <c r="E19">
        <f t="shared" si="0"/>
        <v>877656.9</v>
      </c>
      <c r="F19">
        <f t="shared" si="1"/>
        <v>81622.2</v>
      </c>
      <c r="G19">
        <f t="shared" si="2"/>
        <v>143.80000000000001</v>
      </c>
      <c r="H19">
        <f t="shared" si="3"/>
        <v>26.9</v>
      </c>
      <c r="I19">
        <f t="shared" si="4"/>
        <v>60.01</v>
      </c>
      <c r="J19">
        <v>360</v>
      </c>
      <c r="K19">
        <v>136</v>
      </c>
      <c r="L19">
        <v>10</v>
      </c>
      <c r="M19">
        <v>15.8</v>
      </c>
      <c r="N19">
        <v>12</v>
      </c>
      <c r="O19">
        <v>6</v>
      </c>
    </row>
    <row r="20" spans="1:15" x14ac:dyDescent="0.3">
      <c r="A20" t="s">
        <v>29</v>
      </c>
      <c r="B20">
        <v>8364.6</v>
      </c>
      <c r="C20">
        <v>165754240</v>
      </c>
      <c r="D20">
        <v>5837538.2999999998</v>
      </c>
      <c r="E20">
        <f t="shared" si="0"/>
        <v>920856.9</v>
      </c>
      <c r="F20">
        <f t="shared" si="1"/>
        <v>84602</v>
      </c>
      <c r="G20">
        <f t="shared" si="2"/>
        <v>140.80000000000001</v>
      </c>
      <c r="H20">
        <f t="shared" si="3"/>
        <v>26.4</v>
      </c>
      <c r="I20">
        <f t="shared" si="4"/>
        <v>65.662000000000006</v>
      </c>
      <c r="J20">
        <v>360</v>
      </c>
      <c r="K20">
        <v>138</v>
      </c>
      <c r="L20">
        <v>12</v>
      </c>
      <c r="M20">
        <v>15.8</v>
      </c>
      <c r="N20">
        <v>12</v>
      </c>
      <c r="O20">
        <v>6</v>
      </c>
    </row>
    <row r="21" spans="1:15" x14ac:dyDescent="0.3">
      <c r="A21" t="s">
        <v>30</v>
      </c>
      <c r="B21">
        <v>9084.6</v>
      </c>
      <c r="C21">
        <v>173530240</v>
      </c>
      <c r="D21">
        <v>6141498.2000000002</v>
      </c>
      <c r="E21">
        <f t="shared" si="0"/>
        <v>964056.9</v>
      </c>
      <c r="F21">
        <f t="shared" si="1"/>
        <v>87735.7</v>
      </c>
      <c r="G21">
        <f t="shared" si="2"/>
        <v>138.19999999999999</v>
      </c>
      <c r="H21">
        <f t="shared" si="3"/>
        <v>26</v>
      </c>
      <c r="I21">
        <f t="shared" si="4"/>
        <v>71.313999999999993</v>
      </c>
      <c r="J21">
        <v>360</v>
      </c>
      <c r="K21">
        <v>140</v>
      </c>
      <c r="L21">
        <v>14</v>
      </c>
      <c r="M21">
        <v>15.8</v>
      </c>
      <c r="N21">
        <v>12</v>
      </c>
      <c r="O21">
        <v>6</v>
      </c>
    </row>
    <row r="22" spans="1:15" x14ac:dyDescent="0.3">
      <c r="A22" t="s">
        <v>31</v>
      </c>
      <c r="B22">
        <v>8607.2000000000007</v>
      </c>
      <c r="C22">
        <v>217155400</v>
      </c>
      <c r="D22">
        <v>6599761.7000000002</v>
      </c>
      <c r="E22">
        <f t="shared" si="0"/>
        <v>1085777</v>
      </c>
      <c r="F22">
        <f t="shared" si="1"/>
        <v>92954.4</v>
      </c>
      <c r="G22">
        <f t="shared" si="2"/>
        <v>158.80000000000001</v>
      </c>
      <c r="H22">
        <f t="shared" si="3"/>
        <v>27.7</v>
      </c>
      <c r="I22">
        <f t="shared" si="4"/>
        <v>67.566999999999993</v>
      </c>
      <c r="J22">
        <v>400</v>
      </c>
      <c r="K22">
        <v>142</v>
      </c>
      <c r="L22">
        <v>10.5</v>
      </c>
      <c r="M22">
        <v>16.5</v>
      </c>
      <c r="N22">
        <v>12.5</v>
      </c>
      <c r="O22">
        <v>6.3</v>
      </c>
    </row>
    <row r="23" spans="1:15" x14ac:dyDescent="0.3">
      <c r="A23" t="s">
        <v>32</v>
      </c>
      <c r="B23">
        <v>9407.2000000000007</v>
      </c>
      <c r="C23">
        <v>227822070</v>
      </c>
      <c r="D23">
        <v>6928180.2000000002</v>
      </c>
      <c r="E23">
        <f t="shared" si="0"/>
        <v>1139110.3999999999</v>
      </c>
      <c r="F23">
        <f t="shared" si="1"/>
        <v>96224.7</v>
      </c>
      <c r="G23">
        <f t="shared" si="2"/>
        <v>155.6</v>
      </c>
      <c r="H23">
        <f t="shared" si="3"/>
        <v>27.1</v>
      </c>
      <c r="I23">
        <f t="shared" si="4"/>
        <v>73.846999999999994</v>
      </c>
      <c r="J23">
        <v>400</v>
      </c>
      <c r="K23">
        <v>144</v>
      </c>
      <c r="L23">
        <v>12.5</v>
      </c>
      <c r="M23">
        <v>16.5</v>
      </c>
      <c r="N23">
        <v>12.5</v>
      </c>
      <c r="O23">
        <v>6.3</v>
      </c>
    </row>
    <row r="24" spans="1:15" x14ac:dyDescent="0.3">
      <c r="A24" t="s">
        <v>33</v>
      </c>
      <c r="B24">
        <v>10207.200000000001</v>
      </c>
      <c r="C24">
        <v>238488740</v>
      </c>
      <c r="D24">
        <v>7275413.2000000002</v>
      </c>
      <c r="E24">
        <f t="shared" si="0"/>
        <v>1192443.7</v>
      </c>
      <c r="F24">
        <f t="shared" si="1"/>
        <v>99663.2</v>
      </c>
      <c r="G24">
        <f t="shared" si="2"/>
        <v>152.9</v>
      </c>
      <c r="H24">
        <f t="shared" si="3"/>
        <v>26.7</v>
      </c>
      <c r="I24">
        <f t="shared" si="4"/>
        <v>80.126999999999995</v>
      </c>
      <c r="J24">
        <v>400</v>
      </c>
      <c r="K24">
        <v>146</v>
      </c>
      <c r="L24">
        <v>14.5</v>
      </c>
      <c r="M24">
        <v>16.5</v>
      </c>
      <c r="N24">
        <v>12.5</v>
      </c>
      <c r="O24">
        <v>6.3</v>
      </c>
    </row>
    <row r="25" spans="1:15" x14ac:dyDescent="0.3">
      <c r="A25" t="s">
        <v>34</v>
      </c>
      <c r="B25">
        <v>10239.9</v>
      </c>
      <c r="C25">
        <v>322423430</v>
      </c>
      <c r="D25">
        <v>8551423.5999999996</v>
      </c>
      <c r="E25">
        <f t="shared" si="0"/>
        <v>1432993</v>
      </c>
      <c r="F25">
        <f t="shared" si="1"/>
        <v>114019</v>
      </c>
      <c r="G25">
        <f t="shared" si="2"/>
        <v>177.4</v>
      </c>
      <c r="H25">
        <f t="shared" si="3"/>
        <v>28.9</v>
      </c>
      <c r="I25">
        <f t="shared" si="4"/>
        <v>80.382999999999996</v>
      </c>
      <c r="J25">
        <v>450</v>
      </c>
      <c r="K25">
        <v>150</v>
      </c>
      <c r="L25">
        <v>11.5</v>
      </c>
      <c r="M25">
        <v>18</v>
      </c>
      <c r="N25">
        <v>13.5</v>
      </c>
      <c r="O25">
        <v>6.8</v>
      </c>
    </row>
    <row r="26" spans="1:15" x14ac:dyDescent="0.3">
      <c r="A26" t="s">
        <v>35</v>
      </c>
      <c r="B26">
        <v>11139.9</v>
      </c>
      <c r="C26">
        <v>337610930</v>
      </c>
      <c r="D26">
        <v>8955278.4000000004</v>
      </c>
      <c r="E26">
        <f t="shared" si="0"/>
        <v>1500493</v>
      </c>
      <c r="F26">
        <f t="shared" si="1"/>
        <v>117832.6</v>
      </c>
      <c r="G26">
        <f t="shared" si="2"/>
        <v>174.1</v>
      </c>
      <c r="H26">
        <f t="shared" si="3"/>
        <v>28.4</v>
      </c>
      <c r="I26">
        <f t="shared" si="4"/>
        <v>87.447999999999993</v>
      </c>
      <c r="J26">
        <v>450</v>
      </c>
      <c r="K26">
        <v>152</v>
      </c>
      <c r="L26">
        <v>13.5</v>
      </c>
      <c r="M26">
        <v>18</v>
      </c>
      <c r="N26">
        <v>13.5</v>
      </c>
      <c r="O26">
        <v>6.8</v>
      </c>
    </row>
    <row r="27" spans="1:15" x14ac:dyDescent="0.3">
      <c r="A27" t="s">
        <v>36</v>
      </c>
      <c r="B27">
        <v>12039.9</v>
      </c>
      <c r="C27">
        <v>352798430</v>
      </c>
      <c r="D27">
        <v>9381413.0999999996</v>
      </c>
      <c r="E27">
        <f t="shared" si="0"/>
        <v>1567993</v>
      </c>
      <c r="F27">
        <f t="shared" si="1"/>
        <v>121836.5</v>
      </c>
      <c r="G27">
        <f t="shared" si="2"/>
        <v>171.2</v>
      </c>
      <c r="H27">
        <f t="shared" si="3"/>
        <v>27.9</v>
      </c>
      <c r="I27">
        <f t="shared" si="4"/>
        <v>94.513000000000005</v>
      </c>
      <c r="J27">
        <v>450</v>
      </c>
      <c r="K27">
        <v>154</v>
      </c>
      <c r="L27">
        <v>15.5</v>
      </c>
      <c r="M27">
        <v>18</v>
      </c>
      <c r="N27">
        <v>13.5</v>
      </c>
      <c r="O27">
        <v>6.8</v>
      </c>
    </row>
    <row r="28" spans="1:15" x14ac:dyDescent="0.3">
      <c r="A28" t="s">
        <v>37</v>
      </c>
      <c r="B28">
        <v>11924.1</v>
      </c>
      <c r="C28">
        <v>464683890</v>
      </c>
      <c r="D28">
        <v>11213626</v>
      </c>
      <c r="E28">
        <f t="shared" si="0"/>
        <v>1858735.6</v>
      </c>
      <c r="F28">
        <f t="shared" si="1"/>
        <v>141944.6</v>
      </c>
      <c r="G28">
        <f t="shared" si="2"/>
        <v>197.4</v>
      </c>
      <c r="H28">
        <f t="shared" si="3"/>
        <v>30.7</v>
      </c>
      <c r="I28">
        <f t="shared" si="4"/>
        <v>93.603999999999999</v>
      </c>
      <c r="J28">
        <v>500</v>
      </c>
      <c r="K28">
        <v>158</v>
      </c>
      <c r="L28">
        <v>12</v>
      </c>
      <c r="M28">
        <v>20</v>
      </c>
      <c r="N28">
        <v>14</v>
      </c>
      <c r="O28">
        <v>7</v>
      </c>
    </row>
    <row r="29" spans="1:15" x14ac:dyDescent="0.3">
      <c r="A29" t="s">
        <v>38</v>
      </c>
      <c r="B29">
        <v>12924.1</v>
      </c>
      <c r="C29">
        <v>485517220</v>
      </c>
      <c r="D29">
        <v>11712545</v>
      </c>
      <c r="E29">
        <f t="shared" si="0"/>
        <v>1942068.9</v>
      </c>
      <c r="F29">
        <f t="shared" si="1"/>
        <v>146406.79999999999</v>
      </c>
      <c r="G29">
        <f t="shared" si="2"/>
        <v>193.8</v>
      </c>
      <c r="H29">
        <f t="shared" si="3"/>
        <v>30.1</v>
      </c>
      <c r="I29">
        <f t="shared" si="4"/>
        <v>101.45399999999999</v>
      </c>
      <c r="J29">
        <v>500</v>
      </c>
      <c r="K29">
        <v>160</v>
      </c>
      <c r="L29">
        <v>14</v>
      </c>
      <c r="M29">
        <v>20</v>
      </c>
      <c r="N29">
        <v>14</v>
      </c>
      <c r="O29">
        <v>7</v>
      </c>
    </row>
    <row r="30" spans="1:15" x14ac:dyDescent="0.3">
      <c r="A30" t="s">
        <v>39</v>
      </c>
      <c r="B30">
        <v>13924.1</v>
      </c>
      <c r="C30">
        <v>506350560</v>
      </c>
      <c r="D30">
        <v>12237312</v>
      </c>
      <c r="E30">
        <f t="shared" si="0"/>
        <v>2025402.2</v>
      </c>
      <c r="F30">
        <f t="shared" si="1"/>
        <v>151077.9</v>
      </c>
      <c r="G30">
        <f t="shared" si="2"/>
        <v>190.7</v>
      </c>
      <c r="H30">
        <f t="shared" si="3"/>
        <v>29.6</v>
      </c>
      <c r="I30">
        <f t="shared" si="4"/>
        <v>109.304</v>
      </c>
      <c r="J30">
        <v>500</v>
      </c>
      <c r="K30">
        <v>162</v>
      </c>
      <c r="L30">
        <v>16</v>
      </c>
      <c r="M30">
        <v>20</v>
      </c>
      <c r="N30">
        <v>14</v>
      </c>
      <c r="O30">
        <v>7</v>
      </c>
    </row>
    <row r="31" spans="1:15" x14ac:dyDescent="0.3">
      <c r="A31" t="s">
        <v>40</v>
      </c>
      <c r="B31">
        <v>13538</v>
      </c>
      <c r="C31">
        <v>655784240</v>
      </c>
      <c r="D31">
        <v>13657938</v>
      </c>
      <c r="E31">
        <f t="shared" si="0"/>
        <v>2342086.6</v>
      </c>
      <c r="F31">
        <f t="shared" si="1"/>
        <v>164553.5</v>
      </c>
      <c r="G31">
        <f t="shared" si="2"/>
        <v>220.1</v>
      </c>
      <c r="H31">
        <f t="shared" si="3"/>
        <v>31.8</v>
      </c>
      <c r="I31">
        <f t="shared" si="4"/>
        <v>106.273</v>
      </c>
      <c r="J31">
        <v>560</v>
      </c>
      <c r="K31">
        <v>166</v>
      </c>
      <c r="L31">
        <v>12.5</v>
      </c>
      <c r="M31">
        <v>21</v>
      </c>
      <c r="N31">
        <v>14.5</v>
      </c>
      <c r="O31">
        <v>7.3</v>
      </c>
    </row>
    <row r="32" spans="1:15" x14ac:dyDescent="0.3">
      <c r="A32" t="s">
        <v>41</v>
      </c>
      <c r="B32">
        <v>14658</v>
      </c>
      <c r="C32">
        <v>685053580</v>
      </c>
      <c r="D32">
        <v>14237916</v>
      </c>
      <c r="E32">
        <f t="shared" si="0"/>
        <v>2446619.9</v>
      </c>
      <c r="F32">
        <f t="shared" si="1"/>
        <v>169499</v>
      </c>
      <c r="G32">
        <f t="shared" si="2"/>
        <v>216.2</v>
      </c>
      <c r="H32">
        <f t="shared" si="3"/>
        <v>31.2</v>
      </c>
      <c r="I32">
        <f t="shared" si="4"/>
        <v>115.065</v>
      </c>
      <c r="J32">
        <v>560</v>
      </c>
      <c r="K32">
        <v>168</v>
      </c>
      <c r="L32">
        <v>14.5</v>
      </c>
      <c r="M32">
        <v>21</v>
      </c>
      <c r="N32">
        <v>14.5</v>
      </c>
      <c r="O32">
        <v>7.3</v>
      </c>
    </row>
    <row r="33" spans="1:15" x14ac:dyDescent="0.3">
      <c r="A33" t="s">
        <v>42</v>
      </c>
      <c r="B33">
        <v>15778</v>
      </c>
      <c r="C33">
        <v>714322910</v>
      </c>
      <c r="D33">
        <v>14847210</v>
      </c>
      <c r="E33">
        <f t="shared" si="0"/>
        <v>2551153.2999999998</v>
      </c>
      <c r="F33">
        <f t="shared" si="1"/>
        <v>174673.1</v>
      </c>
      <c r="G33">
        <f t="shared" si="2"/>
        <v>212.8</v>
      </c>
      <c r="H33">
        <f t="shared" si="3"/>
        <v>30.7</v>
      </c>
      <c r="I33">
        <f t="shared" si="4"/>
        <v>123.857</v>
      </c>
      <c r="J33">
        <v>560</v>
      </c>
      <c r="K33">
        <v>170</v>
      </c>
      <c r="L33">
        <v>16.5</v>
      </c>
      <c r="M33">
        <v>21</v>
      </c>
      <c r="N33">
        <v>14.5</v>
      </c>
      <c r="O33">
        <v>7.3</v>
      </c>
    </row>
    <row r="34" spans="1:15" x14ac:dyDescent="0.3">
      <c r="A34" t="s">
        <v>43</v>
      </c>
      <c r="B34">
        <v>15458.5</v>
      </c>
      <c r="C34">
        <v>939965150</v>
      </c>
      <c r="D34">
        <v>17020535</v>
      </c>
      <c r="E34">
        <f t="shared" si="0"/>
        <v>2984016.3</v>
      </c>
      <c r="F34">
        <f t="shared" si="1"/>
        <v>193415.2</v>
      </c>
      <c r="G34">
        <f t="shared" si="2"/>
        <v>246.6</v>
      </c>
      <c r="H34">
        <f t="shared" si="3"/>
        <v>33.200000000000003</v>
      </c>
      <c r="I34">
        <f t="shared" si="4"/>
        <v>121.349</v>
      </c>
      <c r="J34">
        <v>630</v>
      </c>
      <c r="K34">
        <v>176</v>
      </c>
      <c r="L34">
        <v>13</v>
      </c>
      <c r="M34">
        <v>22</v>
      </c>
      <c r="N34">
        <v>15</v>
      </c>
      <c r="O34">
        <v>7.5</v>
      </c>
    </row>
    <row r="35" spans="1:15" x14ac:dyDescent="0.3">
      <c r="A35" t="s">
        <v>44</v>
      </c>
      <c r="B35">
        <v>16718.5</v>
      </c>
      <c r="C35">
        <v>981639650</v>
      </c>
      <c r="D35">
        <v>17703941</v>
      </c>
      <c r="E35">
        <f t="shared" si="0"/>
        <v>3116316.3</v>
      </c>
      <c r="F35">
        <f t="shared" si="1"/>
        <v>198920.7</v>
      </c>
      <c r="G35">
        <f t="shared" si="2"/>
        <v>242.3</v>
      </c>
      <c r="H35">
        <f t="shared" si="3"/>
        <v>32.5</v>
      </c>
      <c r="I35">
        <f t="shared" si="4"/>
        <v>131.24</v>
      </c>
      <c r="J35">
        <v>630</v>
      </c>
      <c r="K35">
        <v>178</v>
      </c>
      <c r="L35">
        <v>15</v>
      </c>
      <c r="M35">
        <v>22</v>
      </c>
      <c r="N35">
        <v>15</v>
      </c>
      <c r="O35">
        <v>7.5</v>
      </c>
    </row>
    <row r="36" spans="1:15" x14ac:dyDescent="0.3">
      <c r="A36" t="s">
        <v>45</v>
      </c>
      <c r="B36">
        <v>17978.5</v>
      </c>
      <c r="C36">
        <v>1023314100</v>
      </c>
      <c r="D36">
        <v>18420783</v>
      </c>
      <c r="E36">
        <f t="shared" si="0"/>
        <v>3248616.2</v>
      </c>
      <c r="F36">
        <f t="shared" si="1"/>
        <v>204675.4</v>
      </c>
      <c r="G36">
        <f t="shared" si="2"/>
        <v>238.6</v>
      </c>
      <c r="H36">
        <f t="shared" si="3"/>
        <v>32</v>
      </c>
      <c r="I36">
        <f t="shared" si="4"/>
        <v>141.131</v>
      </c>
      <c r="J36">
        <v>630</v>
      </c>
      <c r="K36">
        <v>180</v>
      </c>
      <c r="L36">
        <v>17</v>
      </c>
      <c r="M36">
        <v>22</v>
      </c>
      <c r="N36">
        <v>15</v>
      </c>
      <c r="O36">
        <v>7.5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6B084-E6E1-4707-8AF5-75C2EB55AD6B}">
  <dimension ref="A1:O36"/>
  <sheetViews>
    <sheetView zoomScaleNormal="100" workbookViewId="0">
      <selection activeCell="Q29" sqref="Q29"/>
    </sheetView>
  </sheetViews>
  <sheetFormatPr defaultRowHeight="14" x14ac:dyDescent="0.3"/>
  <cols>
    <col min="3" max="4" width="12.75" customWidth="1"/>
  </cols>
  <sheetData>
    <row r="1" spans="1:15" x14ac:dyDescent="0.3">
      <c r="A1" s="2" t="s">
        <v>96</v>
      </c>
      <c r="B1" s="3" t="s">
        <v>97</v>
      </c>
      <c r="C1" s="3" t="s">
        <v>114</v>
      </c>
      <c r="D1" s="3" t="s">
        <v>116</v>
      </c>
      <c r="E1" s="3" t="s">
        <v>118</v>
      </c>
      <c r="F1" s="3" t="s">
        <v>124</v>
      </c>
      <c r="G1" s="3" t="s">
        <v>120</v>
      </c>
      <c r="H1" s="3" t="s">
        <v>122</v>
      </c>
      <c r="I1" s="3" t="s">
        <v>126</v>
      </c>
      <c r="J1" s="3" t="s">
        <v>103</v>
      </c>
      <c r="K1" s="3" t="s">
        <v>104</v>
      </c>
      <c r="L1" s="3" t="s">
        <v>105</v>
      </c>
      <c r="M1" s="3" t="s">
        <v>111</v>
      </c>
      <c r="N1" s="3" t="s">
        <v>108</v>
      </c>
      <c r="O1" s="3" t="s">
        <v>112</v>
      </c>
    </row>
    <row r="2" spans="1:15" x14ac:dyDescent="0.3">
      <c r="A2" t="str">
        <f>"2"&amp;I!A2</f>
        <v>2I10</v>
      </c>
      <c r="B2">
        <f>2*I!B2</f>
        <v>2866.6</v>
      </c>
      <c r="C2">
        <f>2*I!C2</f>
        <v>4901852.2</v>
      </c>
      <c r="D2">
        <f>ROUND(2*I!D2+I!B2*I!K2^2/2,1)</f>
        <v>3969364</v>
      </c>
      <c r="E2">
        <f>ROUND(C2/J2*2,1)</f>
        <v>98037</v>
      </c>
      <c r="F2">
        <f>ROUND(D2/K2*2,1)</f>
        <v>58373</v>
      </c>
      <c r="G2">
        <f>ROUND((C2/B2)^0.5,1)</f>
        <v>41.4</v>
      </c>
      <c r="H2">
        <f>ROUND((D2/B2)^0.5,1)</f>
        <v>37.200000000000003</v>
      </c>
      <c r="I2">
        <f>ROUND(0.00785*B2,3)</f>
        <v>22.503</v>
      </c>
      <c r="J2">
        <f>I!J2</f>
        <v>100</v>
      </c>
      <c r="K2">
        <f>2*I!K2</f>
        <v>136</v>
      </c>
      <c r="L2">
        <f>I!L2</f>
        <v>4.5</v>
      </c>
      <c r="M2">
        <f>I!M2</f>
        <v>7.6</v>
      </c>
      <c r="N2">
        <f>I!K2</f>
        <v>68</v>
      </c>
      <c r="O2">
        <f>M2</f>
        <v>7.6</v>
      </c>
    </row>
    <row r="3" spans="1:15" x14ac:dyDescent="0.3">
      <c r="A3" t="str">
        <f>"2"&amp;I!A3</f>
        <v>2I12</v>
      </c>
      <c r="B3">
        <f>2*I!B3</f>
        <v>3560.8</v>
      </c>
      <c r="C3">
        <f>2*I!C3</f>
        <v>8718508.5999999996</v>
      </c>
      <c r="D3">
        <f>ROUND(2*I!D3+I!B3*I!K3^2/2,1)</f>
        <v>5813406</v>
      </c>
      <c r="E3">
        <f t="shared" ref="E3:E36" si="0">ROUND(C3/J3*2,1)</f>
        <v>145308.5</v>
      </c>
      <c r="F3">
        <f t="shared" ref="F3:F36" si="1">ROUND(D3/K3*2,1)</f>
        <v>78559.5</v>
      </c>
      <c r="G3">
        <f t="shared" ref="G3:G36" si="2">ROUND((C3/B3)^0.5,1)</f>
        <v>49.5</v>
      </c>
      <c r="H3">
        <f t="shared" ref="H3:H36" si="3">ROUND((D3/B3)^0.5,1)</f>
        <v>40.4</v>
      </c>
      <c r="I3">
        <f t="shared" ref="I3:I36" si="4">ROUND(0.00785*B3,3)</f>
        <v>27.952000000000002</v>
      </c>
      <c r="J3">
        <f>I!J3</f>
        <v>120</v>
      </c>
      <c r="K3">
        <f>2*I!K3</f>
        <v>148</v>
      </c>
      <c r="L3">
        <f>I!L3</f>
        <v>5</v>
      </c>
      <c r="M3">
        <f>I!M3</f>
        <v>8.4</v>
      </c>
      <c r="N3">
        <f>I!K3</f>
        <v>74</v>
      </c>
      <c r="O3">
        <f t="shared" ref="O3:O36" si="5">M3</f>
        <v>8.4</v>
      </c>
    </row>
    <row r="4" spans="1:15" x14ac:dyDescent="0.3">
      <c r="A4" t="str">
        <f>"2"&amp;I!A4</f>
        <v>2I12.6</v>
      </c>
      <c r="B4">
        <f>2*I!B4</f>
        <v>3620.8</v>
      </c>
      <c r="C4">
        <f>2*I!C4</f>
        <v>9758130.8000000007</v>
      </c>
      <c r="D4">
        <f>ROUND(2*I!D4+I!B4*I!K4^2/2,1)</f>
        <v>5895670.5999999996</v>
      </c>
      <c r="E4">
        <f t="shared" si="0"/>
        <v>154891</v>
      </c>
      <c r="F4">
        <f t="shared" si="1"/>
        <v>79671.199999999997</v>
      </c>
      <c r="G4">
        <f t="shared" si="2"/>
        <v>51.9</v>
      </c>
      <c r="H4">
        <f t="shared" si="3"/>
        <v>40.4</v>
      </c>
      <c r="I4">
        <f t="shared" si="4"/>
        <v>28.422999999999998</v>
      </c>
      <c r="J4">
        <f>I!J4</f>
        <v>126</v>
      </c>
      <c r="K4">
        <f>2*I!K4</f>
        <v>148</v>
      </c>
      <c r="L4">
        <f>I!L4</f>
        <v>5</v>
      </c>
      <c r="M4">
        <f>I!M4</f>
        <v>8.4</v>
      </c>
      <c r="N4">
        <f>I!K4</f>
        <v>74</v>
      </c>
      <c r="O4">
        <f t="shared" si="5"/>
        <v>8.4</v>
      </c>
    </row>
    <row r="5" spans="1:15" x14ac:dyDescent="0.3">
      <c r="A5" t="str">
        <f>"2"&amp;I!A5</f>
        <v>2I14</v>
      </c>
      <c r="B5">
        <f>2*I!B5</f>
        <v>4300.2</v>
      </c>
      <c r="C5">
        <f>2*I!C5</f>
        <v>14231355.199999999</v>
      </c>
      <c r="D5">
        <f>ROUND(2*I!D5+I!B5*I!K5^2/2,1)</f>
        <v>8166699</v>
      </c>
      <c r="E5">
        <f t="shared" si="0"/>
        <v>203305.1</v>
      </c>
      <c r="F5">
        <f t="shared" si="1"/>
        <v>102083.7</v>
      </c>
      <c r="G5">
        <f t="shared" si="2"/>
        <v>57.5</v>
      </c>
      <c r="H5">
        <f t="shared" si="3"/>
        <v>43.6</v>
      </c>
      <c r="I5">
        <f t="shared" si="4"/>
        <v>33.756999999999998</v>
      </c>
      <c r="J5">
        <f>I!J5</f>
        <v>140</v>
      </c>
      <c r="K5">
        <f>2*I!K5</f>
        <v>160</v>
      </c>
      <c r="L5">
        <f>I!L5</f>
        <v>5.5</v>
      </c>
      <c r="M5">
        <f>I!M5</f>
        <v>9.1</v>
      </c>
      <c r="N5">
        <f>I!K5</f>
        <v>80</v>
      </c>
      <c r="O5">
        <f t="shared" si="5"/>
        <v>9.1</v>
      </c>
    </row>
    <row r="6" spans="1:15" x14ac:dyDescent="0.3">
      <c r="A6" t="str">
        <f>"2"&amp;I!A6</f>
        <v>2I16</v>
      </c>
      <c r="B6">
        <f>2*I!B6</f>
        <v>5222.6000000000004</v>
      </c>
      <c r="C6">
        <f>2*I!C6</f>
        <v>22538146</v>
      </c>
      <c r="D6">
        <f>ROUND(2*I!D6+I!B6*I!K6^2/2,1)</f>
        <v>11971910.4</v>
      </c>
      <c r="E6">
        <f t="shared" si="0"/>
        <v>281726.8</v>
      </c>
      <c r="F6">
        <f t="shared" si="1"/>
        <v>136044.4</v>
      </c>
      <c r="G6">
        <f t="shared" si="2"/>
        <v>65.7</v>
      </c>
      <c r="H6">
        <f t="shared" si="3"/>
        <v>47.9</v>
      </c>
      <c r="I6">
        <f t="shared" si="4"/>
        <v>40.997</v>
      </c>
      <c r="J6">
        <f>I!J6</f>
        <v>160</v>
      </c>
      <c r="K6">
        <f>2*I!K6</f>
        <v>176</v>
      </c>
      <c r="L6">
        <f>I!L6</f>
        <v>6</v>
      </c>
      <c r="M6">
        <f>I!M6</f>
        <v>9.9</v>
      </c>
      <c r="N6">
        <f>I!K6</f>
        <v>88</v>
      </c>
      <c r="O6">
        <f t="shared" si="5"/>
        <v>9.9</v>
      </c>
    </row>
    <row r="7" spans="1:15" x14ac:dyDescent="0.3">
      <c r="A7" t="str">
        <f>"2"&amp;I!A7</f>
        <v>2I18</v>
      </c>
      <c r="B7">
        <f>2*I!B7</f>
        <v>6147</v>
      </c>
      <c r="C7">
        <f>2*I!C7</f>
        <v>33377936</v>
      </c>
      <c r="D7">
        <f>ROUND(2*I!D7+I!B7*I!K7^2/2,1)</f>
        <v>16037322.4</v>
      </c>
      <c r="E7">
        <f t="shared" si="0"/>
        <v>370866</v>
      </c>
      <c r="F7">
        <f t="shared" si="1"/>
        <v>170609.8</v>
      </c>
      <c r="G7">
        <f t="shared" si="2"/>
        <v>73.7</v>
      </c>
      <c r="H7">
        <f t="shared" si="3"/>
        <v>51.1</v>
      </c>
      <c r="I7">
        <f t="shared" si="4"/>
        <v>48.253999999999998</v>
      </c>
      <c r="J7">
        <f>I!J7</f>
        <v>180</v>
      </c>
      <c r="K7">
        <f>2*I!K7</f>
        <v>188</v>
      </c>
      <c r="L7">
        <f>I!L7</f>
        <v>6.5</v>
      </c>
      <c r="M7">
        <f>I!M7</f>
        <v>10.7</v>
      </c>
      <c r="N7">
        <f>I!K7</f>
        <v>94</v>
      </c>
      <c r="O7">
        <f t="shared" si="5"/>
        <v>10.7</v>
      </c>
    </row>
    <row r="8" spans="1:15" x14ac:dyDescent="0.3">
      <c r="A8" t="str">
        <f>"2"&amp;I!A8</f>
        <v>2I20a</v>
      </c>
      <c r="B8">
        <f>2*I!B8</f>
        <v>7111</v>
      </c>
      <c r="C8">
        <f>2*I!C8</f>
        <v>47373116</v>
      </c>
      <c r="D8">
        <f>ROUND(2*I!D8+I!B8*I!K8^2/2,1)</f>
        <v>20936161.199999999</v>
      </c>
      <c r="E8">
        <f t="shared" si="0"/>
        <v>473731.2</v>
      </c>
      <c r="F8">
        <f t="shared" si="1"/>
        <v>209361.6</v>
      </c>
      <c r="G8">
        <f t="shared" si="2"/>
        <v>81.599999999999994</v>
      </c>
      <c r="H8">
        <f t="shared" si="3"/>
        <v>54.3</v>
      </c>
      <c r="I8">
        <f t="shared" si="4"/>
        <v>55.820999999999998</v>
      </c>
      <c r="J8">
        <f>I!J8</f>
        <v>200</v>
      </c>
      <c r="K8">
        <f>2*I!K8</f>
        <v>200</v>
      </c>
      <c r="L8">
        <f>I!L8</f>
        <v>7</v>
      </c>
      <c r="M8">
        <f>I!M8</f>
        <v>11.4</v>
      </c>
      <c r="N8">
        <f>I!K8</f>
        <v>100</v>
      </c>
      <c r="O8">
        <f t="shared" si="5"/>
        <v>11.4</v>
      </c>
    </row>
    <row r="9" spans="1:15" x14ac:dyDescent="0.3">
      <c r="A9" t="str">
        <f>"2"&amp;I!A9</f>
        <v>2I20b</v>
      </c>
      <c r="B9">
        <f>2*I!B9</f>
        <v>7911</v>
      </c>
      <c r="C9">
        <f>2*I!C9</f>
        <v>50039782</v>
      </c>
      <c r="D9">
        <f>ROUND(2*I!D9+I!B9*I!K9^2/2,1)</f>
        <v>23955558.199999999</v>
      </c>
      <c r="E9">
        <f t="shared" si="0"/>
        <v>500397.8</v>
      </c>
      <c r="F9">
        <f t="shared" si="1"/>
        <v>234858.4</v>
      </c>
      <c r="G9">
        <f t="shared" si="2"/>
        <v>79.5</v>
      </c>
      <c r="H9">
        <f t="shared" si="3"/>
        <v>55</v>
      </c>
      <c r="I9">
        <f t="shared" si="4"/>
        <v>62.100999999999999</v>
      </c>
      <c r="J9">
        <f>I!J9</f>
        <v>200</v>
      </c>
      <c r="K9">
        <f>2*I!K9</f>
        <v>204</v>
      </c>
      <c r="L9">
        <f>I!L9</f>
        <v>9</v>
      </c>
      <c r="M9">
        <f>I!M9</f>
        <v>11.4</v>
      </c>
      <c r="N9">
        <f>I!K9</f>
        <v>102</v>
      </c>
      <c r="O9">
        <f t="shared" si="5"/>
        <v>11.4</v>
      </c>
    </row>
    <row r="10" spans="1:15" x14ac:dyDescent="0.3">
      <c r="A10" t="str">
        <f>"2"&amp;I!A10</f>
        <v>2I22a</v>
      </c>
      <c r="B10">
        <f>2*I!B10</f>
        <v>8420.6</v>
      </c>
      <c r="C10">
        <f>2*I!C10</f>
        <v>68118642</v>
      </c>
      <c r="D10">
        <f>ROUND(2*I!D10+I!B10*I!K10^2/2,1)</f>
        <v>29989867.199999999</v>
      </c>
      <c r="E10">
        <f t="shared" si="0"/>
        <v>619260.4</v>
      </c>
      <c r="F10">
        <f t="shared" si="1"/>
        <v>272635.2</v>
      </c>
      <c r="G10">
        <f t="shared" si="2"/>
        <v>89.9</v>
      </c>
      <c r="H10">
        <f t="shared" si="3"/>
        <v>59.7</v>
      </c>
      <c r="I10">
        <f t="shared" si="4"/>
        <v>66.102000000000004</v>
      </c>
      <c r="J10">
        <f>I!J10</f>
        <v>220</v>
      </c>
      <c r="K10">
        <f>2*I!K10</f>
        <v>220</v>
      </c>
      <c r="L10">
        <f>I!L10</f>
        <v>7.5</v>
      </c>
      <c r="M10">
        <f>I!M10</f>
        <v>12.3</v>
      </c>
      <c r="N10">
        <f>I!K10</f>
        <v>110</v>
      </c>
      <c r="O10">
        <f t="shared" si="5"/>
        <v>12.3</v>
      </c>
    </row>
    <row r="11" spans="1:15" x14ac:dyDescent="0.3">
      <c r="A11" t="str">
        <f>"2"&amp;I!A11</f>
        <v>2I22b</v>
      </c>
      <c r="B11">
        <f>2*I!B11</f>
        <v>9300.6</v>
      </c>
      <c r="C11">
        <f>2*I!C11</f>
        <v>71667974</v>
      </c>
      <c r="D11">
        <f>ROUND(2*I!D11+I!B11*I!K11^2/2,1)</f>
        <v>33969948.799999997</v>
      </c>
      <c r="E11">
        <f t="shared" si="0"/>
        <v>651527</v>
      </c>
      <c r="F11">
        <f t="shared" si="1"/>
        <v>303303.09999999998</v>
      </c>
      <c r="G11">
        <f t="shared" si="2"/>
        <v>87.8</v>
      </c>
      <c r="H11">
        <f t="shared" si="3"/>
        <v>60.4</v>
      </c>
      <c r="I11">
        <f t="shared" si="4"/>
        <v>73.010000000000005</v>
      </c>
      <c r="J11">
        <f>I!J11</f>
        <v>220</v>
      </c>
      <c r="K11">
        <f>2*I!K11</f>
        <v>224</v>
      </c>
      <c r="L11">
        <f>I!L11</f>
        <v>9.5</v>
      </c>
      <c r="M11">
        <f>I!M11</f>
        <v>12.3</v>
      </c>
      <c r="N11">
        <f>I!K11</f>
        <v>112</v>
      </c>
      <c r="O11">
        <f t="shared" si="5"/>
        <v>12.3</v>
      </c>
    </row>
    <row r="12" spans="1:15" x14ac:dyDescent="0.3">
      <c r="A12" t="str">
        <f>"2"&amp;I!A12</f>
        <v>2I25a</v>
      </c>
      <c r="B12">
        <f>2*I!B12</f>
        <v>9703.7999999999993</v>
      </c>
      <c r="C12">
        <f>2*I!C12</f>
        <v>100362320</v>
      </c>
      <c r="D12">
        <f>ROUND(2*I!D12+I!B12*I!K12^2/2,1)</f>
        <v>38253542.600000001</v>
      </c>
      <c r="E12">
        <f t="shared" si="0"/>
        <v>802898.6</v>
      </c>
      <c r="F12">
        <f t="shared" si="1"/>
        <v>329771.90000000002</v>
      </c>
      <c r="G12">
        <f t="shared" si="2"/>
        <v>101.7</v>
      </c>
      <c r="H12">
        <f t="shared" si="3"/>
        <v>62.8</v>
      </c>
      <c r="I12">
        <f t="shared" si="4"/>
        <v>76.174999999999997</v>
      </c>
      <c r="J12">
        <f>I!J12</f>
        <v>250</v>
      </c>
      <c r="K12">
        <f>2*I!K12</f>
        <v>232</v>
      </c>
      <c r="L12">
        <f>I!L12</f>
        <v>8</v>
      </c>
      <c r="M12">
        <f>I!M12</f>
        <v>13</v>
      </c>
      <c r="N12">
        <f>I!K12</f>
        <v>116</v>
      </c>
      <c r="O12">
        <f t="shared" si="5"/>
        <v>13</v>
      </c>
    </row>
    <row r="13" spans="1:15" x14ac:dyDescent="0.3">
      <c r="A13" t="str">
        <f>"2"&amp;I!A13</f>
        <v>2I25b</v>
      </c>
      <c r="B13">
        <f>2*I!B13</f>
        <v>10703.8</v>
      </c>
      <c r="C13">
        <f>2*I!C13</f>
        <v>105570654</v>
      </c>
      <c r="D13">
        <f>ROUND(2*I!D13+I!B13*I!K13^2/2,1)</f>
        <v>43207255.799999997</v>
      </c>
      <c r="E13">
        <f t="shared" si="0"/>
        <v>844565.2</v>
      </c>
      <c r="F13">
        <f t="shared" si="1"/>
        <v>366163.20000000001</v>
      </c>
      <c r="G13">
        <f t="shared" si="2"/>
        <v>99.3</v>
      </c>
      <c r="H13">
        <f t="shared" si="3"/>
        <v>63.5</v>
      </c>
      <c r="I13">
        <f t="shared" si="4"/>
        <v>84.025000000000006</v>
      </c>
      <c r="J13">
        <f>I!J13</f>
        <v>250</v>
      </c>
      <c r="K13">
        <f>2*I!K13</f>
        <v>236</v>
      </c>
      <c r="L13">
        <f>I!L13</f>
        <v>10</v>
      </c>
      <c r="M13">
        <f>I!M13</f>
        <v>13</v>
      </c>
      <c r="N13">
        <f>I!K13</f>
        <v>118</v>
      </c>
      <c r="O13">
        <f t="shared" si="5"/>
        <v>13</v>
      </c>
    </row>
    <row r="14" spans="1:15" x14ac:dyDescent="0.3">
      <c r="A14" t="str">
        <f>"2"&amp;I!A14</f>
        <v>2I28a</v>
      </c>
      <c r="B14">
        <f>2*I!B14</f>
        <v>11075.6</v>
      </c>
      <c r="C14">
        <f>2*I!C14</f>
        <v>142320332</v>
      </c>
      <c r="D14">
        <f>ROUND(2*I!D14+I!B14*I!K14^2/2,1)</f>
        <v>48094635.799999997</v>
      </c>
      <c r="E14">
        <f t="shared" si="0"/>
        <v>1016573.8</v>
      </c>
      <c r="F14">
        <f t="shared" si="1"/>
        <v>394218.3</v>
      </c>
      <c r="G14">
        <f t="shared" si="2"/>
        <v>113.4</v>
      </c>
      <c r="H14">
        <f t="shared" si="3"/>
        <v>65.900000000000006</v>
      </c>
      <c r="I14">
        <f t="shared" si="4"/>
        <v>86.942999999999998</v>
      </c>
      <c r="J14">
        <f>I!J14</f>
        <v>280</v>
      </c>
      <c r="K14">
        <f>2*I!K14</f>
        <v>244</v>
      </c>
      <c r="L14">
        <f>I!L14</f>
        <v>8.5</v>
      </c>
      <c r="M14">
        <f>I!M14</f>
        <v>13.7</v>
      </c>
      <c r="N14">
        <f>I!K14</f>
        <v>122</v>
      </c>
      <c r="O14">
        <f t="shared" si="5"/>
        <v>13.7</v>
      </c>
    </row>
    <row r="15" spans="1:15" x14ac:dyDescent="0.3">
      <c r="A15" t="str">
        <f>"2"&amp;I!A15</f>
        <v>2I28b</v>
      </c>
      <c r="B15">
        <f>2*I!B15</f>
        <v>12195.6</v>
      </c>
      <c r="C15">
        <f>2*I!C15</f>
        <v>149637666</v>
      </c>
      <c r="D15">
        <f>ROUND(2*I!D15+I!B15*I!K15^2/2,1)</f>
        <v>54156846.200000003</v>
      </c>
      <c r="E15">
        <f t="shared" si="0"/>
        <v>1068840.5</v>
      </c>
      <c r="F15">
        <f t="shared" si="1"/>
        <v>436748.79999999999</v>
      </c>
      <c r="G15">
        <f t="shared" si="2"/>
        <v>110.8</v>
      </c>
      <c r="H15">
        <f t="shared" si="3"/>
        <v>66.599999999999994</v>
      </c>
      <c r="I15">
        <f t="shared" si="4"/>
        <v>95.734999999999999</v>
      </c>
      <c r="J15">
        <f>I!J15</f>
        <v>280</v>
      </c>
      <c r="K15">
        <f>2*I!K15</f>
        <v>248</v>
      </c>
      <c r="L15">
        <f>I!L15</f>
        <v>10.5</v>
      </c>
      <c r="M15">
        <f>I!M15</f>
        <v>13.7</v>
      </c>
      <c r="N15">
        <f>I!K15</f>
        <v>124</v>
      </c>
      <c r="O15">
        <f t="shared" si="5"/>
        <v>13.7</v>
      </c>
    </row>
    <row r="16" spans="1:15" x14ac:dyDescent="0.3">
      <c r="A16" t="str">
        <f>"2"&amp;I!A16</f>
        <v>2I32a</v>
      </c>
      <c r="B16">
        <f>2*I!B16</f>
        <v>13424.6</v>
      </c>
      <c r="C16">
        <f>2*I!C16</f>
        <v>221623620</v>
      </c>
      <c r="D16">
        <f>ROUND(2*I!D16+I!B16*I!K16^2/2,1)</f>
        <v>65901083.799999997</v>
      </c>
      <c r="E16">
        <f t="shared" si="0"/>
        <v>1385147.6</v>
      </c>
      <c r="F16">
        <f t="shared" si="1"/>
        <v>506931.4</v>
      </c>
      <c r="G16">
        <f t="shared" si="2"/>
        <v>128.5</v>
      </c>
      <c r="H16">
        <f t="shared" si="3"/>
        <v>70.099999999999994</v>
      </c>
      <c r="I16">
        <f t="shared" si="4"/>
        <v>105.383</v>
      </c>
      <c r="J16">
        <f>I!J16</f>
        <v>320</v>
      </c>
      <c r="K16">
        <f>2*I!K16</f>
        <v>260</v>
      </c>
      <c r="L16">
        <f>I!L16</f>
        <v>9.5</v>
      </c>
      <c r="M16">
        <f>I!M16</f>
        <v>15</v>
      </c>
      <c r="N16">
        <f>I!K16</f>
        <v>130</v>
      </c>
      <c r="O16">
        <f t="shared" si="5"/>
        <v>15</v>
      </c>
    </row>
    <row r="17" spans="1:15" x14ac:dyDescent="0.3">
      <c r="A17" t="str">
        <f>"2"&amp;I!A17</f>
        <v>2I32b</v>
      </c>
      <c r="B17">
        <f>2*I!B17</f>
        <v>14704.6</v>
      </c>
      <c r="C17">
        <f>2*I!C17</f>
        <v>232546280</v>
      </c>
      <c r="D17">
        <f>ROUND(2*I!D17+I!B17*I!K17^2/2,1)</f>
        <v>73731008.599999994</v>
      </c>
      <c r="E17">
        <f t="shared" si="0"/>
        <v>1453414.3</v>
      </c>
      <c r="F17">
        <f t="shared" si="1"/>
        <v>558568.19999999995</v>
      </c>
      <c r="G17">
        <f t="shared" si="2"/>
        <v>125.8</v>
      </c>
      <c r="H17">
        <f t="shared" si="3"/>
        <v>70.8</v>
      </c>
      <c r="I17">
        <f t="shared" si="4"/>
        <v>115.431</v>
      </c>
      <c r="J17">
        <f>I!J17</f>
        <v>320</v>
      </c>
      <c r="K17">
        <f>2*I!K17</f>
        <v>264</v>
      </c>
      <c r="L17">
        <f>I!L17</f>
        <v>11.5</v>
      </c>
      <c r="M17">
        <f>I!M17</f>
        <v>15</v>
      </c>
      <c r="N17">
        <f>I!K17</f>
        <v>132</v>
      </c>
      <c r="O17">
        <f t="shared" si="5"/>
        <v>15</v>
      </c>
    </row>
    <row r="18" spans="1:15" x14ac:dyDescent="0.3">
      <c r="A18" t="str">
        <f>"2"&amp;I!A18</f>
        <v>2I32c</v>
      </c>
      <c r="B18">
        <f>2*I!B18</f>
        <v>15984.6</v>
      </c>
      <c r="C18">
        <f>2*I!C18</f>
        <v>243468960</v>
      </c>
      <c r="D18">
        <f>ROUND(2*I!D18+I!B18*I!K18^2/2,1)</f>
        <v>81957672</v>
      </c>
      <c r="E18">
        <f t="shared" si="0"/>
        <v>1521681</v>
      </c>
      <c r="F18">
        <f t="shared" si="1"/>
        <v>611624.4</v>
      </c>
      <c r="G18">
        <f t="shared" si="2"/>
        <v>123.4</v>
      </c>
      <c r="H18">
        <f t="shared" si="3"/>
        <v>71.599999999999994</v>
      </c>
      <c r="I18">
        <f t="shared" si="4"/>
        <v>125.479</v>
      </c>
      <c r="J18">
        <f>I!J18</f>
        <v>320</v>
      </c>
      <c r="K18">
        <f>2*I!K18</f>
        <v>268</v>
      </c>
      <c r="L18">
        <f>I!L18</f>
        <v>13.5</v>
      </c>
      <c r="M18">
        <f>I!M18</f>
        <v>15</v>
      </c>
      <c r="N18">
        <f>I!K18</f>
        <v>134</v>
      </c>
      <c r="O18">
        <f t="shared" si="5"/>
        <v>15</v>
      </c>
    </row>
    <row r="19" spans="1:15" x14ac:dyDescent="0.3">
      <c r="A19" t="str">
        <f>"2"&amp;I!A19</f>
        <v>2I36a</v>
      </c>
      <c r="B19">
        <f>2*I!B19</f>
        <v>15289.2</v>
      </c>
      <c r="C19">
        <f>2*I!C19</f>
        <v>315956480</v>
      </c>
      <c r="D19">
        <f>ROUND(2*I!D19+I!B19*I!K19^2/2,1)</f>
        <v>81797876</v>
      </c>
      <c r="E19">
        <f t="shared" si="0"/>
        <v>1755313.8</v>
      </c>
      <c r="F19">
        <f t="shared" si="1"/>
        <v>601455</v>
      </c>
      <c r="G19">
        <f t="shared" si="2"/>
        <v>143.80000000000001</v>
      </c>
      <c r="H19">
        <f t="shared" si="3"/>
        <v>73.099999999999994</v>
      </c>
      <c r="I19">
        <f t="shared" si="4"/>
        <v>120.02</v>
      </c>
      <c r="J19">
        <f>I!J19</f>
        <v>360</v>
      </c>
      <c r="K19">
        <f>2*I!K19</f>
        <v>272</v>
      </c>
      <c r="L19">
        <f>I!L19</f>
        <v>10</v>
      </c>
      <c r="M19">
        <f>I!M19</f>
        <v>15.8</v>
      </c>
      <c r="N19">
        <f>I!K19</f>
        <v>136</v>
      </c>
      <c r="O19">
        <f t="shared" si="5"/>
        <v>15.8</v>
      </c>
    </row>
    <row r="20" spans="1:15" x14ac:dyDescent="0.3">
      <c r="A20" t="str">
        <f>"2"&amp;I!A20</f>
        <v>2I36b</v>
      </c>
      <c r="B20">
        <f>2*I!B20</f>
        <v>16729.2</v>
      </c>
      <c r="C20">
        <f>2*I!C20</f>
        <v>331508480</v>
      </c>
      <c r="D20">
        <f>ROUND(2*I!D20+I!B20*I!K20^2/2,1)</f>
        <v>91322797.799999997</v>
      </c>
      <c r="E20">
        <f t="shared" si="0"/>
        <v>1841713.8</v>
      </c>
      <c r="F20">
        <f t="shared" si="1"/>
        <v>661759.4</v>
      </c>
      <c r="G20">
        <f t="shared" si="2"/>
        <v>140.80000000000001</v>
      </c>
      <c r="H20">
        <f t="shared" si="3"/>
        <v>73.900000000000006</v>
      </c>
      <c r="I20">
        <f t="shared" si="4"/>
        <v>131.32400000000001</v>
      </c>
      <c r="J20">
        <f>I!J20</f>
        <v>360</v>
      </c>
      <c r="K20">
        <f>2*I!K20</f>
        <v>276</v>
      </c>
      <c r="L20">
        <f>I!L20</f>
        <v>12</v>
      </c>
      <c r="M20">
        <f>I!M20</f>
        <v>15.8</v>
      </c>
      <c r="N20">
        <f>I!K20</f>
        <v>138</v>
      </c>
      <c r="O20">
        <f t="shared" si="5"/>
        <v>15.8</v>
      </c>
    </row>
    <row r="21" spans="1:15" x14ac:dyDescent="0.3">
      <c r="A21" t="str">
        <f>"2"&amp;I!A21</f>
        <v>2I36c</v>
      </c>
      <c r="B21">
        <f>2*I!B21</f>
        <v>18169.2</v>
      </c>
      <c r="C21">
        <f>2*I!C21</f>
        <v>347060480</v>
      </c>
      <c r="D21">
        <f>ROUND(2*I!D21+I!B21*I!K21^2/2,1)</f>
        <v>101312076.40000001</v>
      </c>
      <c r="E21">
        <f t="shared" si="0"/>
        <v>1928113.8</v>
      </c>
      <c r="F21">
        <f t="shared" si="1"/>
        <v>723657.7</v>
      </c>
      <c r="G21">
        <f t="shared" si="2"/>
        <v>138.19999999999999</v>
      </c>
      <c r="H21">
        <f t="shared" si="3"/>
        <v>74.7</v>
      </c>
      <c r="I21">
        <f t="shared" si="4"/>
        <v>142.62799999999999</v>
      </c>
      <c r="J21">
        <f>I!J21</f>
        <v>360</v>
      </c>
      <c r="K21">
        <f>2*I!K21</f>
        <v>280</v>
      </c>
      <c r="L21">
        <f>I!L21</f>
        <v>14</v>
      </c>
      <c r="M21">
        <f>I!M21</f>
        <v>15.8</v>
      </c>
      <c r="N21">
        <f>I!K21</f>
        <v>140</v>
      </c>
      <c r="O21">
        <f t="shared" si="5"/>
        <v>15.8</v>
      </c>
    </row>
    <row r="22" spans="1:15" x14ac:dyDescent="0.3">
      <c r="A22" t="str">
        <f>"2"&amp;I!A22</f>
        <v>2I40a</v>
      </c>
      <c r="B22">
        <f>2*I!B22</f>
        <v>17214.400000000001</v>
      </c>
      <c r="C22">
        <f>2*I!C22</f>
        <v>434310800</v>
      </c>
      <c r="D22">
        <f>ROUND(2*I!D22+I!B22*I!K22^2/2,1)</f>
        <v>99977313.799999997</v>
      </c>
      <c r="E22">
        <f t="shared" si="0"/>
        <v>2171554</v>
      </c>
      <c r="F22">
        <f t="shared" si="1"/>
        <v>704065.6</v>
      </c>
      <c r="G22">
        <f t="shared" si="2"/>
        <v>158.80000000000001</v>
      </c>
      <c r="H22">
        <f t="shared" si="3"/>
        <v>76.2</v>
      </c>
      <c r="I22">
        <f t="shared" si="4"/>
        <v>135.13300000000001</v>
      </c>
      <c r="J22">
        <f>I!J22</f>
        <v>400</v>
      </c>
      <c r="K22">
        <f>2*I!K22</f>
        <v>284</v>
      </c>
      <c r="L22">
        <f>I!L22</f>
        <v>10.5</v>
      </c>
      <c r="M22">
        <f>I!M22</f>
        <v>16.5</v>
      </c>
      <c r="N22">
        <f>I!K22</f>
        <v>142</v>
      </c>
      <c r="O22">
        <f t="shared" si="5"/>
        <v>16.5</v>
      </c>
    </row>
    <row r="23" spans="1:15" x14ac:dyDescent="0.3">
      <c r="A23" t="str">
        <f>"2"&amp;I!A23</f>
        <v>2I40b</v>
      </c>
      <c r="B23">
        <f>2*I!B23</f>
        <v>18814.400000000001</v>
      </c>
      <c r="C23">
        <f>2*I!C23</f>
        <v>455644140</v>
      </c>
      <c r="D23">
        <f>ROUND(2*I!D23+I!B23*I!K23^2/2,1)</f>
        <v>111390210</v>
      </c>
      <c r="E23">
        <f t="shared" si="0"/>
        <v>2278220.7000000002</v>
      </c>
      <c r="F23">
        <f t="shared" si="1"/>
        <v>773543.1</v>
      </c>
      <c r="G23">
        <f t="shared" si="2"/>
        <v>155.6</v>
      </c>
      <c r="H23">
        <f t="shared" si="3"/>
        <v>76.900000000000006</v>
      </c>
      <c r="I23">
        <f t="shared" si="4"/>
        <v>147.69300000000001</v>
      </c>
      <c r="J23">
        <f>I!J23</f>
        <v>400</v>
      </c>
      <c r="K23">
        <f>2*I!K23</f>
        <v>288</v>
      </c>
      <c r="L23">
        <f>I!L23</f>
        <v>12.5</v>
      </c>
      <c r="M23">
        <f>I!M23</f>
        <v>16.5</v>
      </c>
      <c r="N23">
        <f>I!K23</f>
        <v>144</v>
      </c>
      <c r="O23">
        <f t="shared" si="5"/>
        <v>16.5</v>
      </c>
    </row>
    <row r="24" spans="1:15" x14ac:dyDescent="0.3">
      <c r="A24" t="str">
        <f>"2"&amp;I!A24</f>
        <v>2I40c</v>
      </c>
      <c r="B24">
        <f>2*I!B24</f>
        <v>20414.400000000001</v>
      </c>
      <c r="C24">
        <f>2*I!C24</f>
        <v>476977480</v>
      </c>
      <c r="D24">
        <f>ROUND(2*I!D24+I!B24*I!K24^2/2,1)</f>
        <v>123339164</v>
      </c>
      <c r="E24">
        <f t="shared" si="0"/>
        <v>2384887.4</v>
      </c>
      <c r="F24">
        <f t="shared" si="1"/>
        <v>844788.8</v>
      </c>
      <c r="G24">
        <f t="shared" si="2"/>
        <v>152.9</v>
      </c>
      <c r="H24">
        <f t="shared" si="3"/>
        <v>77.7</v>
      </c>
      <c r="I24">
        <f t="shared" si="4"/>
        <v>160.25299999999999</v>
      </c>
      <c r="J24">
        <f>I!J24</f>
        <v>400</v>
      </c>
      <c r="K24">
        <f>2*I!K24</f>
        <v>292</v>
      </c>
      <c r="L24">
        <f>I!L24</f>
        <v>14.5</v>
      </c>
      <c r="M24">
        <f>I!M24</f>
        <v>16.5</v>
      </c>
      <c r="N24">
        <f>I!K24</f>
        <v>146</v>
      </c>
      <c r="O24">
        <f t="shared" si="5"/>
        <v>16.5</v>
      </c>
    </row>
    <row r="25" spans="1:15" x14ac:dyDescent="0.3">
      <c r="A25" t="str">
        <f>"2"&amp;I!A25</f>
        <v>2I45a</v>
      </c>
      <c r="B25">
        <f>2*I!B25</f>
        <v>20479.8</v>
      </c>
      <c r="C25">
        <f>2*I!C25</f>
        <v>644846860</v>
      </c>
      <c r="D25">
        <f>ROUND(2*I!D25+I!B25*I!K25^2/2,1)</f>
        <v>132301722.2</v>
      </c>
      <c r="E25">
        <f t="shared" si="0"/>
        <v>2865986</v>
      </c>
      <c r="F25">
        <f t="shared" si="1"/>
        <v>882011.5</v>
      </c>
      <c r="G25">
        <f t="shared" si="2"/>
        <v>177.4</v>
      </c>
      <c r="H25">
        <f t="shared" si="3"/>
        <v>80.400000000000006</v>
      </c>
      <c r="I25">
        <f t="shared" si="4"/>
        <v>160.76599999999999</v>
      </c>
      <c r="J25">
        <f>I!J25</f>
        <v>450</v>
      </c>
      <c r="K25">
        <f>2*I!K25</f>
        <v>300</v>
      </c>
      <c r="L25">
        <f>I!L25</f>
        <v>11.5</v>
      </c>
      <c r="M25">
        <f>I!M25</f>
        <v>18</v>
      </c>
      <c r="N25">
        <f>I!K25</f>
        <v>150</v>
      </c>
      <c r="O25">
        <f t="shared" si="5"/>
        <v>18</v>
      </c>
    </row>
    <row r="26" spans="1:15" x14ac:dyDescent="0.3">
      <c r="A26" t="str">
        <f>"2"&amp;I!A26</f>
        <v>2I45b</v>
      </c>
      <c r="B26">
        <f>2*I!B26</f>
        <v>22279.8</v>
      </c>
      <c r="C26">
        <f>2*I!C26</f>
        <v>675221860</v>
      </c>
      <c r="D26">
        <f>ROUND(2*I!D26+I!B26*I!K26^2/2,1)</f>
        <v>146598681.59999999</v>
      </c>
      <c r="E26">
        <f t="shared" si="0"/>
        <v>3000986</v>
      </c>
      <c r="F26">
        <f t="shared" si="1"/>
        <v>964465</v>
      </c>
      <c r="G26">
        <f t="shared" si="2"/>
        <v>174.1</v>
      </c>
      <c r="H26">
        <f t="shared" si="3"/>
        <v>81.099999999999994</v>
      </c>
      <c r="I26">
        <f t="shared" si="4"/>
        <v>174.89599999999999</v>
      </c>
      <c r="J26">
        <f>I!J26</f>
        <v>450</v>
      </c>
      <c r="K26">
        <f>2*I!K26</f>
        <v>304</v>
      </c>
      <c r="L26">
        <f>I!L26</f>
        <v>13.5</v>
      </c>
      <c r="M26">
        <f>I!M26</f>
        <v>18</v>
      </c>
      <c r="N26">
        <f>I!K26</f>
        <v>152</v>
      </c>
      <c r="O26">
        <f t="shared" si="5"/>
        <v>18</v>
      </c>
    </row>
    <row r="27" spans="1:15" x14ac:dyDescent="0.3">
      <c r="A27" t="str">
        <f>"2"&amp;I!A27</f>
        <v>2I45c</v>
      </c>
      <c r="B27">
        <f>2*I!B27</f>
        <v>24079.8</v>
      </c>
      <c r="C27">
        <f>2*I!C27</f>
        <v>705596860</v>
      </c>
      <c r="D27">
        <f>ROUND(2*I!D27+I!B27*I!K27^2/2,1)</f>
        <v>161531960.40000001</v>
      </c>
      <c r="E27">
        <f t="shared" si="0"/>
        <v>3135986</v>
      </c>
      <c r="F27">
        <f t="shared" si="1"/>
        <v>1048908.8</v>
      </c>
      <c r="G27">
        <f t="shared" si="2"/>
        <v>171.2</v>
      </c>
      <c r="H27">
        <f t="shared" si="3"/>
        <v>81.900000000000006</v>
      </c>
      <c r="I27">
        <f t="shared" si="4"/>
        <v>189.02600000000001</v>
      </c>
      <c r="J27">
        <f>I!J27</f>
        <v>450</v>
      </c>
      <c r="K27">
        <f>2*I!K27</f>
        <v>308</v>
      </c>
      <c r="L27">
        <f>I!L27</f>
        <v>15.5</v>
      </c>
      <c r="M27">
        <f>I!M27</f>
        <v>18</v>
      </c>
      <c r="N27">
        <f>I!K27</f>
        <v>154</v>
      </c>
      <c r="O27">
        <f t="shared" si="5"/>
        <v>18</v>
      </c>
    </row>
    <row r="28" spans="1:15" x14ac:dyDescent="0.3">
      <c r="A28" t="str">
        <f>"2"&amp;I!A28</f>
        <v>2I50a</v>
      </c>
      <c r="B28">
        <f>2*I!B28</f>
        <v>23848.2</v>
      </c>
      <c r="C28">
        <f>2*I!C28</f>
        <v>929367780</v>
      </c>
      <c r="D28">
        <f>ROUND(2*I!D28+I!B28*I!K28^2/2,1)</f>
        <v>171263868.19999999</v>
      </c>
      <c r="E28">
        <f t="shared" si="0"/>
        <v>3717471.1</v>
      </c>
      <c r="F28">
        <f t="shared" si="1"/>
        <v>1083948.5</v>
      </c>
      <c r="G28">
        <f t="shared" si="2"/>
        <v>197.4</v>
      </c>
      <c r="H28">
        <f t="shared" si="3"/>
        <v>84.7</v>
      </c>
      <c r="I28">
        <f t="shared" si="4"/>
        <v>187.208</v>
      </c>
      <c r="J28">
        <f>I!J28</f>
        <v>500</v>
      </c>
      <c r="K28">
        <f>2*I!K28</f>
        <v>316</v>
      </c>
      <c r="L28">
        <f>I!L28</f>
        <v>12</v>
      </c>
      <c r="M28">
        <f>I!M28</f>
        <v>20</v>
      </c>
      <c r="N28">
        <f>I!K28</f>
        <v>158</v>
      </c>
      <c r="O28">
        <f t="shared" si="5"/>
        <v>20</v>
      </c>
    </row>
    <row r="29" spans="1:15" x14ac:dyDescent="0.3">
      <c r="A29" t="str">
        <f>"2"&amp;I!A29</f>
        <v>2I50b</v>
      </c>
      <c r="B29">
        <f>2*I!B29</f>
        <v>25848.2</v>
      </c>
      <c r="C29">
        <f>2*I!C29</f>
        <v>971034440</v>
      </c>
      <c r="D29">
        <f>ROUND(2*I!D29+I!B29*I!K29^2/2,1)</f>
        <v>188853570</v>
      </c>
      <c r="E29">
        <f t="shared" si="0"/>
        <v>3884137.8</v>
      </c>
      <c r="F29">
        <f t="shared" si="1"/>
        <v>1180334.8</v>
      </c>
      <c r="G29">
        <f t="shared" si="2"/>
        <v>193.8</v>
      </c>
      <c r="H29">
        <f t="shared" si="3"/>
        <v>85.5</v>
      </c>
      <c r="I29">
        <f t="shared" si="4"/>
        <v>202.90799999999999</v>
      </c>
      <c r="J29">
        <f>I!J29</f>
        <v>500</v>
      </c>
      <c r="K29">
        <f>2*I!K29</f>
        <v>320</v>
      </c>
      <c r="L29">
        <f>I!L29</f>
        <v>14</v>
      </c>
      <c r="M29">
        <f>I!M29</f>
        <v>20</v>
      </c>
      <c r="N29">
        <f>I!K29</f>
        <v>160</v>
      </c>
      <c r="O29">
        <f t="shared" si="5"/>
        <v>20</v>
      </c>
    </row>
    <row r="30" spans="1:15" x14ac:dyDescent="0.3">
      <c r="A30" t="str">
        <f>"2"&amp;I!A30</f>
        <v>2I50c</v>
      </c>
      <c r="B30">
        <f>2*I!B30</f>
        <v>27848.2</v>
      </c>
      <c r="C30">
        <f>2*I!C30</f>
        <v>1012701120</v>
      </c>
      <c r="D30">
        <f>ROUND(2*I!D30+I!B30*I!K30^2/2,1)</f>
        <v>207186664.19999999</v>
      </c>
      <c r="E30">
        <f t="shared" si="0"/>
        <v>4050804.5</v>
      </c>
      <c r="F30">
        <f t="shared" si="1"/>
        <v>1278930</v>
      </c>
      <c r="G30">
        <f t="shared" si="2"/>
        <v>190.7</v>
      </c>
      <c r="H30">
        <f t="shared" si="3"/>
        <v>86.3</v>
      </c>
      <c r="I30">
        <f t="shared" si="4"/>
        <v>218.608</v>
      </c>
      <c r="J30">
        <f>I!J30</f>
        <v>500</v>
      </c>
      <c r="K30">
        <f>2*I!K30</f>
        <v>324</v>
      </c>
      <c r="L30">
        <f>I!L30</f>
        <v>16</v>
      </c>
      <c r="M30">
        <f>I!M30</f>
        <v>20</v>
      </c>
      <c r="N30">
        <f>I!K30</f>
        <v>162</v>
      </c>
      <c r="O30">
        <f t="shared" si="5"/>
        <v>20</v>
      </c>
    </row>
    <row r="31" spans="1:15" x14ac:dyDescent="0.3">
      <c r="A31" t="str">
        <f>"2"&amp;I!A31</f>
        <v>2I56a</v>
      </c>
      <c r="B31">
        <f>2*I!B31</f>
        <v>27076</v>
      </c>
      <c r="C31">
        <f>2*I!C31</f>
        <v>1311568480</v>
      </c>
      <c r="D31">
        <f>ROUND(2*I!D31+I!B31*I!K31^2/2,1)</f>
        <v>213842440</v>
      </c>
      <c r="E31">
        <f t="shared" si="0"/>
        <v>4684173.0999999996</v>
      </c>
      <c r="F31">
        <f t="shared" si="1"/>
        <v>1288207.5</v>
      </c>
      <c r="G31">
        <f t="shared" si="2"/>
        <v>220.1</v>
      </c>
      <c r="H31">
        <f t="shared" si="3"/>
        <v>88.9</v>
      </c>
      <c r="I31">
        <f t="shared" si="4"/>
        <v>212.547</v>
      </c>
      <c r="J31">
        <f>I!J31</f>
        <v>560</v>
      </c>
      <c r="K31">
        <f>2*I!K31</f>
        <v>332</v>
      </c>
      <c r="L31">
        <f>I!L31</f>
        <v>12.5</v>
      </c>
      <c r="M31">
        <f>I!M31</f>
        <v>21</v>
      </c>
      <c r="N31">
        <f>I!K31</f>
        <v>166</v>
      </c>
      <c r="O31">
        <f t="shared" si="5"/>
        <v>21</v>
      </c>
    </row>
    <row r="32" spans="1:15" x14ac:dyDescent="0.3">
      <c r="A32" t="str">
        <f>"2"&amp;I!A32</f>
        <v>2I56b</v>
      </c>
      <c r="B32">
        <f>2*I!B32</f>
        <v>29316</v>
      </c>
      <c r="C32">
        <f>2*I!C32</f>
        <v>1370107160</v>
      </c>
      <c r="D32">
        <f>ROUND(2*I!D32+I!B32*I!K32^2/2,1)</f>
        <v>235329528</v>
      </c>
      <c r="E32">
        <f t="shared" si="0"/>
        <v>4893239.9000000004</v>
      </c>
      <c r="F32">
        <f t="shared" si="1"/>
        <v>1400771</v>
      </c>
      <c r="G32">
        <f t="shared" si="2"/>
        <v>216.2</v>
      </c>
      <c r="H32">
        <f t="shared" si="3"/>
        <v>89.6</v>
      </c>
      <c r="I32">
        <f t="shared" si="4"/>
        <v>230.131</v>
      </c>
      <c r="J32">
        <f>I!J32</f>
        <v>560</v>
      </c>
      <c r="K32">
        <f>2*I!K32</f>
        <v>336</v>
      </c>
      <c r="L32">
        <f>I!L32</f>
        <v>14.5</v>
      </c>
      <c r="M32">
        <f>I!M32</f>
        <v>21</v>
      </c>
      <c r="N32">
        <f>I!K32</f>
        <v>168</v>
      </c>
      <c r="O32">
        <f t="shared" si="5"/>
        <v>21</v>
      </c>
    </row>
    <row r="33" spans="1:15" x14ac:dyDescent="0.3">
      <c r="A33" t="str">
        <f>"2"&amp;I!A33</f>
        <v>2I56c</v>
      </c>
      <c r="B33">
        <f>2*I!B33</f>
        <v>31556</v>
      </c>
      <c r="C33">
        <f>2*I!C33</f>
        <v>1428645820</v>
      </c>
      <c r="D33">
        <f>ROUND(2*I!D33+I!B33*I!K33^2/2,1)</f>
        <v>257686520</v>
      </c>
      <c r="E33">
        <f t="shared" si="0"/>
        <v>5102306.5</v>
      </c>
      <c r="F33">
        <f t="shared" si="1"/>
        <v>1515803.1</v>
      </c>
      <c r="G33">
        <f t="shared" si="2"/>
        <v>212.8</v>
      </c>
      <c r="H33">
        <f t="shared" si="3"/>
        <v>90.4</v>
      </c>
      <c r="I33">
        <f t="shared" si="4"/>
        <v>247.715</v>
      </c>
      <c r="J33">
        <f>I!J33</f>
        <v>560</v>
      </c>
      <c r="K33">
        <f>2*I!K33</f>
        <v>340</v>
      </c>
      <c r="L33">
        <f>I!L33</f>
        <v>16.5</v>
      </c>
      <c r="M33">
        <f>I!M33</f>
        <v>21</v>
      </c>
      <c r="N33">
        <f>I!K33</f>
        <v>170</v>
      </c>
      <c r="O33">
        <f t="shared" si="5"/>
        <v>21</v>
      </c>
    </row>
    <row r="34" spans="1:15" x14ac:dyDescent="0.3">
      <c r="A34" t="str">
        <f>"2"&amp;I!A34</f>
        <v>2I63a</v>
      </c>
      <c r="B34">
        <f>2*I!B34</f>
        <v>30917</v>
      </c>
      <c r="C34">
        <f>2*I!C34</f>
        <v>1879930300</v>
      </c>
      <c r="D34">
        <f>ROUND(2*I!D34+I!B34*I!K34^2/2,1)</f>
        <v>273462318</v>
      </c>
      <c r="E34">
        <f t="shared" si="0"/>
        <v>5968032.7000000002</v>
      </c>
      <c r="F34">
        <f t="shared" si="1"/>
        <v>1553763.2</v>
      </c>
      <c r="G34">
        <f t="shared" si="2"/>
        <v>246.6</v>
      </c>
      <c r="H34">
        <f t="shared" si="3"/>
        <v>94</v>
      </c>
      <c r="I34">
        <f t="shared" si="4"/>
        <v>242.69800000000001</v>
      </c>
      <c r="J34">
        <f>I!J34</f>
        <v>630</v>
      </c>
      <c r="K34">
        <f>2*I!K34</f>
        <v>352</v>
      </c>
      <c r="L34">
        <f>I!L34</f>
        <v>13</v>
      </c>
      <c r="M34">
        <f>I!M34</f>
        <v>22</v>
      </c>
      <c r="N34">
        <f>I!K34</f>
        <v>176</v>
      </c>
      <c r="O34">
        <f t="shared" si="5"/>
        <v>22</v>
      </c>
    </row>
    <row r="35" spans="1:15" x14ac:dyDescent="0.3">
      <c r="A35" t="str">
        <f>"2"&amp;I!A35</f>
        <v>2I63b</v>
      </c>
      <c r="B35">
        <f>2*I!B35</f>
        <v>33437</v>
      </c>
      <c r="C35">
        <f>2*I!C35</f>
        <v>1963279300</v>
      </c>
      <c r="D35">
        <f>ROUND(2*I!D35+I!B35*I!K35^2/2,1)</f>
        <v>300262359</v>
      </c>
      <c r="E35">
        <f t="shared" si="0"/>
        <v>6232632.7000000002</v>
      </c>
      <c r="F35">
        <f t="shared" si="1"/>
        <v>1686867.2</v>
      </c>
      <c r="G35">
        <f t="shared" si="2"/>
        <v>242.3</v>
      </c>
      <c r="H35">
        <f t="shared" si="3"/>
        <v>94.8</v>
      </c>
      <c r="I35">
        <f t="shared" si="4"/>
        <v>262.48</v>
      </c>
      <c r="J35">
        <f>I!J35</f>
        <v>630</v>
      </c>
      <c r="K35">
        <f>2*I!K35</f>
        <v>356</v>
      </c>
      <c r="L35">
        <f>I!L35</f>
        <v>15</v>
      </c>
      <c r="M35">
        <f>I!M35</f>
        <v>22</v>
      </c>
      <c r="N35">
        <f>I!K35</f>
        <v>178</v>
      </c>
      <c r="O35">
        <f t="shared" si="5"/>
        <v>22</v>
      </c>
    </row>
    <row r="36" spans="1:15" x14ac:dyDescent="0.3">
      <c r="A36" t="str">
        <f>"2"&amp;I!A36</f>
        <v>2I63c</v>
      </c>
      <c r="B36">
        <f>2*I!B36</f>
        <v>35957</v>
      </c>
      <c r="C36">
        <f>2*I!C36</f>
        <v>2046628200</v>
      </c>
      <c r="D36">
        <f>ROUND(2*I!D36+I!B36*I!K36^2/2,1)</f>
        <v>328093266</v>
      </c>
      <c r="E36">
        <f t="shared" si="0"/>
        <v>6497232.4000000004</v>
      </c>
      <c r="F36">
        <f t="shared" si="1"/>
        <v>1822740.4</v>
      </c>
      <c r="G36">
        <f t="shared" si="2"/>
        <v>238.6</v>
      </c>
      <c r="H36">
        <f t="shared" si="3"/>
        <v>95.5</v>
      </c>
      <c r="I36">
        <f t="shared" si="4"/>
        <v>282.262</v>
      </c>
      <c r="J36">
        <f>I!J36</f>
        <v>630</v>
      </c>
      <c r="K36">
        <f>2*I!K36</f>
        <v>360</v>
      </c>
      <c r="L36">
        <f>I!L36</f>
        <v>17</v>
      </c>
      <c r="M36">
        <f>I!M36</f>
        <v>22</v>
      </c>
      <c r="N36">
        <f>I!K36</f>
        <v>180</v>
      </c>
      <c r="O36">
        <f t="shared" si="5"/>
        <v>22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1687B-7669-4738-A8AC-B79EF69D6C16}">
  <dimension ref="A1:O16"/>
  <sheetViews>
    <sheetView zoomScaleNormal="100" workbookViewId="0">
      <selection activeCell="S16" sqref="S16"/>
    </sheetView>
  </sheetViews>
  <sheetFormatPr defaultRowHeight="14" x14ac:dyDescent="0.3"/>
  <cols>
    <col min="1" max="1" width="12.75" customWidth="1"/>
    <col min="3" max="4" width="12.75" customWidth="1"/>
  </cols>
  <sheetData>
    <row r="1" spans="1:15" x14ac:dyDescent="0.3">
      <c r="A1" s="2" t="s">
        <v>96</v>
      </c>
      <c r="B1" s="3" t="s">
        <v>97</v>
      </c>
      <c r="C1" s="3" t="s">
        <v>114</v>
      </c>
      <c r="D1" s="3" t="s">
        <v>116</v>
      </c>
      <c r="E1" s="3" t="s">
        <v>118</v>
      </c>
      <c r="F1" s="3" t="s">
        <v>124</v>
      </c>
      <c r="G1" s="3" t="s">
        <v>120</v>
      </c>
      <c r="H1" s="3" t="s">
        <v>122</v>
      </c>
      <c r="I1" s="3" t="s">
        <v>126</v>
      </c>
      <c r="J1" s="3" t="s">
        <v>103</v>
      </c>
      <c r="K1" s="3" t="s">
        <v>104</v>
      </c>
      <c r="L1" s="5" t="s">
        <v>109</v>
      </c>
      <c r="M1" s="3" t="s">
        <v>111</v>
      </c>
      <c r="N1" s="3" t="s">
        <v>106</v>
      </c>
      <c r="O1" s="3"/>
    </row>
    <row r="2" spans="1:15" x14ac:dyDescent="0.3">
      <c r="A2" t="s">
        <v>155</v>
      </c>
      <c r="B2">
        <v>2640.6</v>
      </c>
      <c r="C2">
        <v>10046379</v>
      </c>
      <c r="D2">
        <v>1503968.9</v>
      </c>
      <c r="E2">
        <f t="shared" ref="E2:E16" si="0">ROUND(C2/J2*2,1)</f>
        <v>135761.9</v>
      </c>
      <c r="F2">
        <f t="shared" ref="F2:F16" si="1">ROUND(D2/K2*2,1)</f>
        <v>30079.4</v>
      </c>
      <c r="G2">
        <f t="shared" ref="G2:G16" si="2">ROUND((C2/B2)^0.5,1)</f>
        <v>61.7</v>
      </c>
      <c r="H2">
        <f t="shared" ref="H2:H16" si="3">ROUND((D2/B2)^0.5,1)</f>
        <v>23.9</v>
      </c>
      <c r="I2">
        <f t="shared" ref="I2:I16" si="4">ROUND(0.00785*B2,3)</f>
        <v>20.728999999999999</v>
      </c>
      <c r="J2">
        <v>148</v>
      </c>
      <c r="K2">
        <v>100</v>
      </c>
      <c r="L2">
        <v>6</v>
      </c>
      <c r="M2">
        <v>9</v>
      </c>
      <c r="N2">
        <v>8</v>
      </c>
    </row>
    <row r="3" spans="1:15" x14ac:dyDescent="0.3">
      <c r="A3" t="s">
        <v>156</v>
      </c>
      <c r="B3">
        <v>3816.6</v>
      </c>
      <c r="C3">
        <v>26295089</v>
      </c>
      <c r="D3">
        <v>5067296.9000000004</v>
      </c>
      <c r="E3">
        <f t="shared" si="0"/>
        <v>271083.40000000002</v>
      </c>
      <c r="F3">
        <f t="shared" si="1"/>
        <v>67564</v>
      </c>
      <c r="G3">
        <f t="shared" si="2"/>
        <v>83</v>
      </c>
      <c r="H3">
        <f t="shared" si="3"/>
        <v>36.4</v>
      </c>
      <c r="I3">
        <f t="shared" si="4"/>
        <v>29.96</v>
      </c>
      <c r="J3">
        <v>194</v>
      </c>
      <c r="K3">
        <v>150</v>
      </c>
      <c r="L3">
        <v>6</v>
      </c>
      <c r="M3">
        <v>9</v>
      </c>
      <c r="N3">
        <v>8</v>
      </c>
    </row>
    <row r="4" spans="1:15" x14ac:dyDescent="0.3">
      <c r="A4" t="s">
        <v>157</v>
      </c>
      <c r="B4">
        <v>5563.9</v>
      </c>
      <c r="C4">
        <v>60537570</v>
      </c>
      <c r="D4">
        <v>9840020.9000000004</v>
      </c>
      <c r="E4">
        <f t="shared" si="0"/>
        <v>496209.6</v>
      </c>
      <c r="F4">
        <f t="shared" si="1"/>
        <v>112457.4</v>
      </c>
      <c r="G4">
        <f t="shared" si="2"/>
        <v>104.3</v>
      </c>
      <c r="H4">
        <f t="shared" si="3"/>
        <v>42.1</v>
      </c>
      <c r="I4">
        <f t="shared" si="4"/>
        <v>43.677</v>
      </c>
      <c r="J4">
        <v>244</v>
      </c>
      <c r="K4">
        <v>175</v>
      </c>
      <c r="L4">
        <v>7</v>
      </c>
      <c r="M4">
        <v>11</v>
      </c>
      <c r="N4">
        <v>13</v>
      </c>
    </row>
    <row r="5" spans="1:15" x14ac:dyDescent="0.3">
      <c r="A5" t="s">
        <v>158</v>
      </c>
      <c r="B5">
        <v>7119.9</v>
      </c>
      <c r="C5">
        <v>111392170</v>
      </c>
      <c r="D5">
        <v>16020769</v>
      </c>
      <c r="E5">
        <f t="shared" si="0"/>
        <v>757769.9</v>
      </c>
      <c r="F5">
        <f t="shared" si="1"/>
        <v>160207.70000000001</v>
      </c>
      <c r="G5">
        <f t="shared" si="2"/>
        <v>125.1</v>
      </c>
      <c r="H5">
        <f t="shared" si="3"/>
        <v>47.4</v>
      </c>
      <c r="I5">
        <f t="shared" si="4"/>
        <v>55.890999999999998</v>
      </c>
      <c r="J5">
        <v>294</v>
      </c>
      <c r="K5">
        <v>200</v>
      </c>
      <c r="L5">
        <v>8</v>
      </c>
      <c r="M5">
        <v>12</v>
      </c>
      <c r="N5">
        <v>13</v>
      </c>
    </row>
    <row r="6" spans="1:15" x14ac:dyDescent="0.3">
      <c r="A6" t="s">
        <v>159</v>
      </c>
      <c r="B6">
        <v>8217.9</v>
      </c>
      <c r="C6">
        <v>131120940</v>
      </c>
      <c r="D6">
        <v>18974896</v>
      </c>
      <c r="E6">
        <f t="shared" si="0"/>
        <v>880006.3</v>
      </c>
      <c r="F6">
        <f t="shared" si="1"/>
        <v>188804.9</v>
      </c>
      <c r="G6">
        <f t="shared" si="2"/>
        <v>126.3</v>
      </c>
      <c r="H6">
        <f t="shared" si="3"/>
        <v>48.1</v>
      </c>
      <c r="I6">
        <f t="shared" si="4"/>
        <v>64.510999999999996</v>
      </c>
      <c r="J6">
        <v>298</v>
      </c>
      <c r="K6">
        <v>201</v>
      </c>
      <c r="L6">
        <v>9</v>
      </c>
      <c r="M6">
        <v>14</v>
      </c>
      <c r="N6">
        <v>13</v>
      </c>
    </row>
    <row r="7" spans="1:15" x14ac:dyDescent="0.3">
      <c r="A7" t="s">
        <v>160</v>
      </c>
      <c r="B7">
        <v>9967.9</v>
      </c>
      <c r="C7">
        <v>212616150</v>
      </c>
      <c r="D7">
        <v>36487712</v>
      </c>
      <c r="E7">
        <f t="shared" si="0"/>
        <v>1250683.2</v>
      </c>
      <c r="F7">
        <f t="shared" si="1"/>
        <v>291901.7</v>
      </c>
      <c r="G7">
        <f t="shared" si="2"/>
        <v>146</v>
      </c>
      <c r="H7">
        <f t="shared" si="3"/>
        <v>60.5</v>
      </c>
      <c r="I7">
        <f t="shared" si="4"/>
        <v>78.248000000000005</v>
      </c>
      <c r="J7">
        <v>340</v>
      </c>
      <c r="K7">
        <v>250</v>
      </c>
      <c r="L7">
        <v>9</v>
      </c>
      <c r="M7">
        <v>14</v>
      </c>
      <c r="N7">
        <v>13</v>
      </c>
    </row>
    <row r="8" spans="1:15" x14ac:dyDescent="0.3">
      <c r="A8" t="s">
        <v>161</v>
      </c>
      <c r="B8">
        <v>13339.9</v>
      </c>
      <c r="C8">
        <v>379092600</v>
      </c>
      <c r="D8">
        <v>72041513</v>
      </c>
      <c r="E8">
        <f t="shared" si="0"/>
        <v>1944064.6</v>
      </c>
      <c r="F8">
        <f t="shared" si="1"/>
        <v>480276.8</v>
      </c>
      <c r="G8">
        <f t="shared" si="2"/>
        <v>168.6</v>
      </c>
      <c r="H8">
        <f t="shared" si="3"/>
        <v>73.5</v>
      </c>
      <c r="I8">
        <f t="shared" si="4"/>
        <v>104.718</v>
      </c>
      <c r="J8">
        <v>390</v>
      </c>
      <c r="K8">
        <v>300</v>
      </c>
      <c r="L8">
        <v>10</v>
      </c>
      <c r="M8">
        <v>16</v>
      </c>
      <c r="N8">
        <v>13</v>
      </c>
    </row>
    <row r="9" spans="1:15" x14ac:dyDescent="0.3">
      <c r="A9" t="s">
        <v>162</v>
      </c>
      <c r="B9">
        <v>15403.9</v>
      </c>
      <c r="C9">
        <v>547891230</v>
      </c>
      <c r="D9">
        <v>81057824</v>
      </c>
      <c r="E9">
        <f t="shared" si="0"/>
        <v>2490414.7000000002</v>
      </c>
      <c r="F9">
        <f t="shared" si="1"/>
        <v>540385.5</v>
      </c>
      <c r="G9">
        <f t="shared" si="2"/>
        <v>188.6</v>
      </c>
      <c r="H9">
        <f t="shared" si="3"/>
        <v>72.5</v>
      </c>
      <c r="I9">
        <f t="shared" si="4"/>
        <v>120.92100000000001</v>
      </c>
      <c r="J9">
        <v>440</v>
      </c>
      <c r="K9">
        <v>300</v>
      </c>
      <c r="L9">
        <v>11</v>
      </c>
      <c r="M9">
        <v>18</v>
      </c>
      <c r="N9">
        <v>13</v>
      </c>
    </row>
    <row r="10" spans="1:15" x14ac:dyDescent="0.3">
      <c r="A10" t="s">
        <v>163</v>
      </c>
      <c r="B10">
        <v>14131.9</v>
      </c>
      <c r="C10">
        <v>583466510</v>
      </c>
      <c r="D10">
        <v>67563148</v>
      </c>
      <c r="E10">
        <f t="shared" si="0"/>
        <v>2421022.9</v>
      </c>
      <c r="F10">
        <f t="shared" si="1"/>
        <v>450421</v>
      </c>
      <c r="G10">
        <f t="shared" si="2"/>
        <v>203.2</v>
      </c>
      <c r="H10">
        <f t="shared" si="3"/>
        <v>69.099999999999994</v>
      </c>
      <c r="I10">
        <f t="shared" si="4"/>
        <v>110.935</v>
      </c>
      <c r="J10">
        <v>482</v>
      </c>
      <c r="K10">
        <v>300</v>
      </c>
      <c r="L10">
        <v>11</v>
      </c>
      <c r="M10">
        <v>15</v>
      </c>
      <c r="N10">
        <v>13</v>
      </c>
    </row>
    <row r="11" spans="1:15" x14ac:dyDescent="0.3">
      <c r="A11" t="s">
        <v>164</v>
      </c>
      <c r="B11">
        <v>15931.9</v>
      </c>
      <c r="C11">
        <v>689319110</v>
      </c>
      <c r="D11">
        <v>81063148</v>
      </c>
      <c r="E11">
        <f t="shared" si="0"/>
        <v>2825078.3</v>
      </c>
      <c r="F11">
        <f t="shared" si="1"/>
        <v>540421</v>
      </c>
      <c r="G11">
        <f t="shared" si="2"/>
        <v>208</v>
      </c>
      <c r="H11">
        <f t="shared" si="3"/>
        <v>71.3</v>
      </c>
      <c r="I11">
        <f t="shared" si="4"/>
        <v>125.065</v>
      </c>
      <c r="J11">
        <v>488</v>
      </c>
      <c r="K11">
        <v>300</v>
      </c>
      <c r="L11">
        <v>11</v>
      </c>
      <c r="M11">
        <v>18</v>
      </c>
      <c r="N11">
        <v>13</v>
      </c>
    </row>
    <row r="12" spans="1:15" x14ac:dyDescent="0.3">
      <c r="A12" t="s">
        <v>165</v>
      </c>
      <c r="B12">
        <v>14813.9</v>
      </c>
      <c r="C12">
        <v>764602850</v>
      </c>
      <c r="D12">
        <v>67570025</v>
      </c>
      <c r="E12">
        <f t="shared" si="0"/>
        <v>2811039.9</v>
      </c>
      <c r="F12">
        <f t="shared" si="1"/>
        <v>450466.8</v>
      </c>
      <c r="G12">
        <f t="shared" si="2"/>
        <v>227.2</v>
      </c>
      <c r="H12">
        <f t="shared" si="3"/>
        <v>67.5</v>
      </c>
      <c r="I12">
        <f t="shared" si="4"/>
        <v>116.289</v>
      </c>
      <c r="J12">
        <v>544</v>
      </c>
      <c r="K12">
        <v>300</v>
      </c>
      <c r="L12">
        <v>11</v>
      </c>
      <c r="M12">
        <v>15</v>
      </c>
      <c r="N12">
        <v>13</v>
      </c>
    </row>
    <row r="13" spans="1:15" x14ac:dyDescent="0.3">
      <c r="A13" t="s">
        <v>166</v>
      </c>
      <c r="B13">
        <v>16613.900000000001</v>
      </c>
      <c r="C13">
        <v>899248250</v>
      </c>
      <c r="D13">
        <v>81070025</v>
      </c>
      <c r="E13">
        <f t="shared" si="0"/>
        <v>3269993.6</v>
      </c>
      <c r="F13">
        <f t="shared" si="1"/>
        <v>540466.80000000005</v>
      </c>
      <c r="G13">
        <f t="shared" si="2"/>
        <v>232.7</v>
      </c>
      <c r="H13">
        <f t="shared" si="3"/>
        <v>69.900000000000006</v>
      </c>
      <c r="I13">
        <f t="shared" si="4"/>
        <v>130.41900000000001</v>
      </c>
      <c r="J13">
        <v>550</v>
      </c>
      <c r="K13">
        <v>300</v>
      </c>
      <c r="L13">
        <v>11</v>
      </c>
      <c r="M13">
        <v>18</v>
      </c>
      <c r="N13">
        <v>13</v>
      </c>
    </row>
    <row r="14" spans="1:15" x14ac:dyDescent="0.3">
      <c r="A14" t="s">
        <v>167</v>
      </c>
      <c r="B14">
        <v>16935.900000000001</v>
      </c>
      <c r="C14">
        <v>990574360</v>
      </c>
      <c r="D14">
        <v>76593341</v>
      </c>
      <c r="E14">
        <f t="shared" si="0"/>
        <v>3404035.6</v>
      </c>
      <c r="F14">
        <f t="shared" si="1"/>
        <v>510622.3</v>
      </c>
      <c r="G14">
        <f t="shared" si="2"/>
        <v>241.8</v>
      </c>
      <c r="H14">
        <f t="shared" si="3"/>
        <v>67.2</v>
      </c>
      <c r="I14">
        <f t="shared" si="4"/>
        <v>132.947</v>
      </c>
      <c r="J14">
        <v>582</v>
      </c>
      <c r="K14">
        <v>300</v>
      </c>
      <c r="L14">
        <v>12</v>
      </c>
      <c r="M14">
        <v>17</v>
      </c>
      <c r="N14">
        <v>13</v>
      </c>
    </row>
    <row r="15" spans="1:15" x14ac:dyDescent="0.3">
      <c r="A15" t="s">
        <v>1</v>
      </c>
      <c r="B15">
        <v>18735.900000000001</v>
      </c>
      <c r="C15">
        <v>1144577000</v>
      </c>
      <c r="D15">
        <v>90093341</v>
      </c>
      <c r="E15">
        <f t="shared" si="0"/>
        <v>3893119</v>
      </c>
      <c r="F15">
        <f t="shared" si="1"/>
        <v>600622.30000000005</v>
      </c>
      <c r="G15">
        <f t="shared" si="2"/>
        <v>247.2</v>
      </c>
      <c r="H15">
        <f t="shared" si="3"/>
        <v>69.3</v>
      </c>
      <c r="I15">
        <f t="shared" si="4"/>
        <v>147.077</v>
      </c>
      <c r="J15">
        <v>588</v>
      </c>
      <c r="K15">
        <v>300</v>
      </c>
      <c r="L15">
        <v>12</v>
      </c>
      <c r="M15">
        <v>20</v>
      </c>
      <c r="N15">
        <v>13</v>
      </c>
    </row>
    <row r="16" spans="1:15" x14ac:dyDescent="0.3">
      <c r="A16" t="s">
        <v>73</v>
      </c>
      <c r="B16">
        <v>21723.9</v>
      </c>
      <c r="C16">
        <v>1336685500</v>
      </c>
      <c r="D16">
        <v>105726640</v>
      </c>
      <c r="E16">
        <f t="shared" si="0"/>
        <v>4500624.5999999996</v>
      </c>
      <c r="F16">
        <f t="shared" si="1"/>
        <v>700176.4</v>
      </c>
      <c r="G16">
        <f t="shared" si="2"/>
        <v>248.1</v>
      </c>
      <c r="H16">
        <f t="shared" si="3"/>
        <v>69.8</v>
      </c>
      <c r="I16">
        <f t="shared" si="4"/>
        <v>170.53299999999999</v>
      </c>
      <c r="J16">
        <v>594</v>
      </c>
      <c r="K16">
        <v>302</v>
      </c>
      <c r="L16">
        <v>14</v>
      </c>
      <c r="M16">
        <v>23</v>
      </c>
      <c r="N16">
        <v>13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D6987-8635-4FED-AC8D-B279C8A5DB06}">
  <dimension ref="A1:O16"/>
  <sheetViews>
    <sheetView zoomScaleNormal="100" workbookViewId="0">
      <selection activeCell="D21" sqref="D21"/>
    </sheetView>
  </sheetViews>
  <sheetFormatPr defaultRowHeight="14" x14ac:dyDescent="0.3"/>
  <cols>
    <col min="1" max="1" width="12.75" customWidth="1"/>
    <col min="3" max="4" width="12.75" customWidth="1"/>
  </cols>
  <sheetData>
    <row r="1" spans="1:15" x14ac:dyDescent="0.3">
      <c r="A1" s="2" t="s">
        <v>96</v>
      </c>
      <c r="B1" s="3" t="s">
        <v>97</v>
      </c>
      <c r="C1" s="3" t="s">
        <v>114</v>
      </c>
      <c r="D1" s="3" t="s">
        <v>116</v>
      </c>
      <c r="E1" s="3" t="s">
        <v>118</v>
      </c>
      <c r="F1" s="3" t="s">
        <v>124</v>
      </c>
      <c r="G1" s="3" t="s">
        <v>120</v>
      </c>
      <c r="H1" s="3" t="s">
        <v>122</v>
      </c>
      <c r="I1" s="3" t="s">
        <v>126</v>
      </c>
      <c r="J1" s="3" t="s">
        <v>103</v>
      </c>
      <c r="K1" s="3" t="s">
        <v>104</v>
      </c>
      <c r="L1" s="3" t="s">
        <v>105</v>
      </c>
      <c r="M1" s="3" t="s">
        <v>111</v>
      </c>
      <c r="N1" s="3" t="s">
        <v>108</v>
      </c>
      <c r="O1" s="3" t="s">
        <v>112</v>
      </c>
    </row>
    <row r="2" spans="1:15" x14ac:dyDescent="0.3">
      <c r="A2" t="str">
        <f>"2"&amp;HM!A2</f>
        <v>2HM148X100</v>
      </c>
      <c r="B2">
        <f>2*HM!B2</f>
        <v>5281.2</v>
      </c>
      <c r="C2">
        <f>2*HM!C2</f>
        <v>20092758</v>
      </c>
      <c r="D2">
        <f>ROUND(2*HM!D2+HM!B2*HM!K2^2/2,2)</f>
        <v>16210937.800000001</v>
      </c>
      <c r="E2">
        <f t="shared" ref="E2:E16" si="0">ROUND(C2/J2*2,1)</f>
        <v>271523.8</v>
      </c>
      <c r="F2">
        <f t="shared" ref="F2:F16" si="1">ROUND(D2/K2*2,1)</f>
        <v>162109.4</v>
      </c>
      <c r="G2">
        <f t="shared" ref="G2:G16" si="2">ROUND((C2/B2)^0.5,1)</f>
        <v>61.7</v>
      </c>
      <c r="H2">
        <f t="shared" ref="H2:H16" si="3">ROUND((D2/B2)^0.5,1)</f>
        <v>55.4</v>
      </c>
      <c r="I2">
        <f t="shared" ref="I2:I16" si="4">ROUND(0.00785*B2,3)</f>
        <v>41.457000000000001</v>
      </c>
      <c r="J2">
        <f>HM!J2</f>
        <v>148</v>
      </c>
      <c r="K2">
        <f>2*HM!K2</f>
        <v>200</v>
      </c>
      <c r="L2">
        <f>HM!L2</f>
        <v>6</v>
      </c>
      <c r="M2">
        <f>HM!M2</f>
        <v>9</v>
      </c>
      <c r="N2">
        <f>HM!K2</f>
        <v>100</v>
      </c>
      <c r="O2">
        <f>M2</f>
        <v>9</v>
      </c>
    </row>
    <row r="3" spans="1:15" x14ac:dyDescent="0.3">
      <c r="A3" t="str">
        <f>"2"&amp;HM!A3</f>
        <v>2HM194X150</v>
      </c>
      <c r="B3">
        <f>2*HM!B3</f>
        <v>7633.2</v>
      </c>
      <c r="C3">
        <f>2*HM!C3</f>
        <v>52590178</v>
      </c>
      <c r="D3">
        <f>ROUND(2*HM!D3+HM!B3*HM!K3^2/2,2)</f>
        <v>53071343.799999997</v>
      </c>
      <c r="E3">
        <f t="shared" si="0"/>
        <v>542166.80000000005</v>
      </c>
      <c r="F3">
        <f t="shared" si="1"/>
        <v>353809</v>
      </c>
      <c r="G3">
        <f t="shared" si="2"/>
        <v>83</v>
      </c>
      <c r="H3">
        <f t="shared" si="3"/>
        <v>83.4</v>
      </c>
      <c r="I3">
        <f t="shared" si="4"/>
        <v>59.920999999999999</v>
      </c>
      <c r="J3">
        <f>HM!J3</f>
        <v>194</v>
      </c>
      <c r="K3">
        <f>2*HM!K3</f>
        <v>300</v>
      </c>
      <c r="L3">
        <f>HM!L3</f>
        <v>6</v>
      </c>
      <c r="M3">
        <f>HM!M3</f>
        <v>9</v>
      </c>
      <c r="N3">
        <f>HM!K3</f>
        <v>150</v>
      </c>
      <c r="O3">
        <f t="shared" ref="O3:O16" si="5">M3</f>
        <v>9</v>
      </c>
    </row>
    <row r="4" spans="1:15" x14ac:dyDescent="0.3">
      <c r="A4" t="str">
        <f>"2"&amp;HM!A4</f>
        <v>2HM244X175</v>
      </c>
      <c r="B4">
        <f>2*HM!B4</f>
        <v>11127.8</v>
      </c>
      <c r="C4">
        <f>2*HM!C4</f>
        <v>121075140</v>
      </c>
      <c r="D4">
        <f>ROUND(2*HM!D4+HM!B4*HM!K4^2/2,2)</f>
        <v>104877260.55</v>
      </c>
      <c r="E4">
        <f t="shared" si="0"/>
        <v>992419.2</v>
      </c>
      <c r="F4">
        <f t="shared" si="1"/>
        <v>599298.6</v>
      </c>
      <c r="G4">
        <f t="shared" si="2"/>
        <v>104.3</v>
      </c>
      <c r="H4">
        <f t="shared" si="3"/>
        <v>97.1</v>
      </c>
      <c r="I4">
        <f t="shared" si="4"/>
        <v>87.352999999999994</v>
      </c>
      <c r="J4">
        <f>HM!J4</f>
        <v>244</v>
      </c>
      <c r="K4">
        <f>2*HM!K4</f>
        <v>350</v>
      </c>
      <c r="L4">
        <f>HM!L4</f>
        <v>7</v>
      </c>
      <c r="M4">
        <f>HM!M4</f>
        <v>11</v>
      </c>
      <c r="N4">
        <f>HM!K4</f>
        <v>175</v>
      </c>
      <c r="O4">
        <f t="shared" si="5"/>
        <v>11</v>
      </c>
    </row>
    <row r="5" spans="1:15" x14ac:dyDescent="0.3">
      <c r="A5" t="str">
        <f>"2"&amp;HM!A5</f>
        <v>2HM294X200</v>
      </c>
      <c r="B5">
        <f>2*HM!B5</f>
        <v>14239.8</v>
      </c>
      <c r="C5">
        <f>2*HM!C5</f>
        <v>222784340</v>
      </c>
      <c r="D5">
        <f>ROUND(2*HM!D5+HM!B5*HM!K5^2/2,2)</f>
        <v>174439538</v>
      </c>
      <c r="E5">
        <f t="shared" si="0"/>
        <v>1515539.7</v>
      </c>
      <c r="F5">
        <f t="shared" si="1"/>
        <v>872197.7</v>
      </c>
      <c r="G5">
        <f t="shared" si="2"/>
        <v>125.1</v>
      </c>
      <c r="H5">
        <f t="shared" si="3"/>
        <v>110.7</v>
      </c>
      <c r="I5">
        <f t="shared" si="4"/>
        <v>111.782</v>
      </c>
      <c r="J5">
        <f>HM!J5</f>
        <v>294</v>
      </c>
      <c r="K5">
        <f>2*HM!K5</f>
        <v>400</v>
      </c>
      <c r="L5">
        <f>HM!L5</f>
        <v>8</v>
      </c>
      <c r="M5">
        <f>HM!M5</f>
        <v>12</v>
      </c>
      <c r="N5">
        <f>HM!K5</f>
        <v>200</v>
      </c>
      <c r="O5">
        <f t="shared" si="5"/>
        <v>12</v>
      </c>
    </row>
    <row r="6" spans="1:15" x14ac:dyDescent="0.3">
      <c r="A6" t="str">
        <f>"2"&amp;HM!A6</f>
        <v>2HM298X201</v>
      </c>
      <c r="B6">
        <f>2*HM!B6</f>
        <v>16435.8</v>
      </c>
      <c r="C6">
        <f>2*HM!C6</f>
        <v>262241880</v>
      </c>
      <c r="D6">
        <f>ROUND(2*HM!D6+HM!B6*HM!K6^2/2,2)</f>
        <v>203955480.94999999</v>
      </c>
      <c r="E6">
        <f t="shared" si="0"/>
        <v>1760012.6</v>
      </c>
      <c r="F6">
        <f t="shared" si="1"/>
        <v>1014703.9</v>
      </c>
      <c r="G6">
        <f t="shared" si="2"/>
        <v>126.3</v>
      </c>
      <c r="H6">
        <f t="shared" si="3"/>
        <v>111.4</v>
      </c>
      <c r="I6">
        <f t="shared" si="4"/>
        <v>129.02099999999999</v>
      </c>
      <c r="J6">
        <f>HM!J6</f>
        <v>298</v>
      </c>
      <c r="K6">
        <f>2*HM!K6</f>
        <v>402</v>
      </c>
      <c r="L6">
        <f>HM!L6</f>
        <v>9</v>
      </c>
      <c r="M6">
        <f>HM!M6</f>
        <v>14</v>
      </c>
      <c r="N6">
        <f>HM!K6</f>
        <v>201</v>
      </c>
      <c r="O6">
        <f t="shared" si="5"/>
        <v>14</v>
      </c>
    </row>
    <row r="7" spans="1:15" x14ac:dyDescent="0.3">
      <c r="A7" t="str">
        <f>"2"&amp;HM!A7</f>
        <v>2HM340X250</v>
      </c>
      <c r="B7">
        <f>2*HM!B7</f>
        <v>19935.8</v>
      </c>
      <c r="C7">
        <f>2*HM!C7</f>
        <v>425232300</v>
      </c>
      <c r="D7">
        <f>ROUND(2*HM!D7+HM!B7*HM!K7^2/2,2)</f>
        <v>384472299</v>
      </c>
      <c r="E7">
        <f t="shared" si="0"/>
        <v>2501366.5</v>
      </c>
      <c r="F7">
        <f t="shared" si="1"/>
        <v>1537889.2</v>
      </c>
      <c r="G7">
        <f t="shared" si="2"/>
        <v>146</v>
      </c>
      <c r="H7">
        <f t="shared" si="3"/>
        <v>138.9</v>
      </c>
      <c r="I7">
        <f t="shared" si="4"/>
        <v>156.49600000000001</v>
      </c>
      <c r="J7">
        <f>HM!J7</f>
        <v>340</v>
      </c>
      <c r="K7">
        <f>2*HM!K7</f>
        <v>500</v>
      </c>
      <c r="L7">
        <f>HM!L7</f>
        <v>9</v>
      </c>
      <c r="M7">
        <f>HM!M7</f>
        <v>14</v>
      </c>
      <c r="N7">
        <f>HM!K7</f>
        <v>250</v>
      </c>
      <c r="O7">
        <f t="shared" si="5"/>
        <v>14</v>
      </c>
    </row>
    <row r="8" spans="1:15" x14ac:dyDescent="0.3">
      <c r="A8" t="str">
        <f>"2"&amp;HM!A8</f>
        <v>2HM390X300</v>
      </c>
      <c r="B8">
        <f>2*HM!B8</f>
        <v>26679.8</v>
      </c>
      <c r="C8">
        <f>2*HM!C8</f>
        <v>758185200</v>
      </c>
      <c r="D8">
        <f>ROUND(2*HM!D8+HM!B8*HM!K8^2/2,2)</f>
        <v>744378526</v>
      </c>
      <c r="E8">
        <f t="shared" si="0"/>
        <v>3888129.2</v>
      </c>
      <c r="F8">
        <f t="shared" si="1"/>
        <v>2481261.7999999998</v>
      </c>
      <c r="G8">
        <f t="shared" si="2"/>
        <v>168.6</v>
      </c>
      <c r="H8">
        <f t="shared" si="3"/>
        <v>167</v>
      </c>
      <c r="I8">
        <f t="shared" si="4"/>
        <v>209.43600000000001</v>
      </c>
      <c r="J8">
        <f>HM!J8</f>
        <v>390</v>
      </c>
      <c r="K8">
        <f>2*HM!K8</f>
        <v>600</v>
      </c>
      <c r="L8">
        <f>HM!L8</f>
        <v>10</v>
      </c>
      <c r="M8">
        <f>HM!M8</f>
        <v>16</v>
      </c>
      <c r="N8">
        <f>HM!K8</f>
        <v>300</v>
      </c>
      <c r="O8">
        <f t="shared" si="5"/>
        <v>16</v>
      </c>
    </row>
    <row r="9" spans="1:15" x14ac:dyDescent="0.3">
      <c r="A9" t="str">
        <f>"2"&amp;HM!A9</f>
        <v>2HM440X300</v>
      </c>
      <c r="B9">
        <f>2*HM!B9</f>
        <v>30807.8</v>
      </c>
      <c r="C9">
        <f>2*HM!C9</f>
        <v>1095782460</v>
      </c>
      <c r="D9">
        <f>ROUND(2*HM!D9+HM!B9*HM!K9^2/2,2)</f>
        <v>855291148</v>
      </c>
      <c r="E9">
        <f t="shared" si="0"/>
        <v>4980829.4000000004</v>
      </c>
      <c r="F9">
        <f t="shared" si="1"/>
        <v>2850970.5</v>
      </c>
      <c r="G9">
        <f t="shared" si="2"/>
        <v>188.6</v>
      </c>
      <c r="H9">
        <f t="shared" si="3"/>
        <v>166.6</v>
      </c>
      <c r="I9">
        <f t="shared" si="4"/>
        <v>241.84100000000001</v>
      </c>
      <c r="J9">
        <f>HM!J9</f>
        <v>440</v>
      </c>
      <c r="K9">
        <f>2*HM!K9</f>
        <v>600</v>
      </c>
      <c r="L9">
        <f>HM!L9</f>
        <v>11</v>
      </c>
      <c r="M9">
        <f>HM!M9</f>
        <v>18</v>
      </c>
      <c r="N9">
        <f>HM!K9</f>
        <v>300</v>
      </c>
      <c r="O9">
        <f t="shared" si="5"/>
        <v>18</v>
      </c>
    </row>
    <row r="10" spans="1:15" x14ac:dyDescent="0.3">
      <c r="A10" t="str">
        <f>"2"&amp;HM!A10</f>
        <v>2HM482X300</v>
      </c>
      <c r="B10">
        <f>2*HM!B10</f>
        <v>28263.8</v>
      </c>
      <c r="C10">
        <f>2*HM!C10</f>
        <v>1166933020</v>
      </c>
      <c r="D10">
        <f>ROUND(2*HM!D10+HM!B10*HM!K10^2/2,2)</f>
        <v>771061796</v>
      </c>
      <c r="E10">
        <f t="shared" si="0"/>
        <v>4842045.7</v>
      </c>
      <c r="F10">
        <f t="shared" si="1"/>
        <v>2570206</v>
      </c>
      <c r="G10">
        <f t="shared" si="2"/>
        <v>203.2</v>
      </c>
      <c r="H10">
        <f t="shared" si="3"/>
        <v>165.2</v>
      </c>
      <c r="I10">
        <f t="shared" si="4"/>
        <v>221.87100000000001</v>
      </c>
      <c r="J10">
        <f>HM!J10</f>
        <v>482</v>
      </c>
      <c r="K10">
        <f>2*HM!K10</f>
        <v>600</v>
      </c>
      <c r="L10">
        <f>HM!L10</f>
        <v>11</v>
      </c>
      <c r="M10">
        <f>HM!M10</f>
        <v>15</v>
      </c>
      <c r="N10">
        <f>HM!K10</f>
        <v>300</v>
      </c>
      <c r="O10">
        <f t="shared" si="5"/>
        <v>15</v>
      </c>
    </row>
    <row r="11" spans="1:15" x14ac:dyDescent="0.3">
      <c r="A11" t="str">
        <f>"2"&amp;HM!A11</f>
        <v>2HM488X300</v>
      </c>
      <c r="B11">
        <f>2*HM!B11</f>
        <v>31863.8</v>
      </c>
      <c r="C11">
        <f>2*HM!C11</f>
        <v>1378638220</v>
      </c>
      <c r="D11">
        <f>ROUND(2*HM!D11+HM!B11*HM!K11^2/2,2)</f>
        <v>879061796</v>
      </c>
      <c r="E11">
        <f t="shared" si="0"/>
        <v>5650156.5999999996</v>
      </c>
      <c r="F11">
        <f t="shared" si="1"/>
        <v>2930206</v>
      </c>
      <c r="G11">
        <f t="shared" si="2"/>
        <v>208</v>
      </c>
      <c r="H11">
        <f t="shared" si="3"/>
        <v>166.1</v>
      </c>
      <c r="I11">
        <f t="shared" si="4"/>
        <v>250.131</v>
      </c>
      <c r="J11">
        <f>HM!J11</f>
        <v>488</v>
      </c>
      <c r="K11">
        <f>2*HM!K11</f>
        <v>600</v>
      </c>
      <c r="L11">
        <f>HM!L11</f>
        <v>11</v>
      </c>
      <c r="M11">
        <f>HM!M11</f>
        <v>18</v>
      </c>
      <c r="N11">
        <f>HM!K11</f>
        <v>300</v>
      </c>
      <c r="O11">
        <f t="shared" si="5"/>
        <v>18</v>
      </c>
    </row>
    <row r="12" spans="1:15" x14ac:dyDescent="0.3">
      <c r="A12" t="str">
        <f>"2"&amp;HM!A12</f>
        <v>2HM544X300</v>
      </c>
      <c r="B12">
        <f>2*HM!B12</f>
        <v>29627.8</v>
      </c>
      <c r="C12">
        <f>2*HM!C12</f>
        <v>1529205700</v>
      </c>
      <c r="D12">
        <f>ROUND(2*HM!D12+HM!B12*HM!K12^2/2,2)</f>
        <v>801765550</v>
      </c>
      <c r="E12">
        <f t="shared" si="0"/>
        <v>5622079.7999999998</v>
      </c>
      <c r="F12">
        <f t="shared" si="1"/>
        <v>2672551.7999999998</v>
      </c>
      <c r="G12">
        <f t="shared" si="2"/>
        <v>227.2</v>
      </c>
      <c r="H12">
        <f t="shared" si="3"/>
        <v>164.5</v>
      </c>
      <c r="I12">
        <f t="shared" si="4"/>
        <v>232.578</v>
      </c>
      <c r="J12">
        <f>HM!J12</f>
        <v>544</v>
      </c>
      <c r="K12">
        <f>2*HM!K12</f>
        <v>600</v>
      </c>
      <c r="L12">
        <f>HM!L12</f>
        <v>11</v>
      </c>
      <c r="M12">
        <f>HM!M12</f>
        <v>15</v>
      </c>
      <c r="N12">
        <f>HM!K12</f>
        <v>300</v>
      </c>
      <c r="O12">
        <f t="shared" si="5"/>
        <v>15</v>
      </c>
    </row>
    <row r="13" spans="1:15" x14ac:dyDescent="0.3">
      <c r="A13" t="str">
        <f>"2"&amp;HM!A13</f>
        <v>2HM550X300</v>
      </c>
      <c r="B13">
        <f>2*HM!B13</f>
        <v>33227.800000000003</v>
      </c>
      <c r="C13">
        <f>2*HM!C13</f>
        <v>1798496500</v>
      </c>
      <c r="D13">
        <f>ROUND(2*HM!D13+HM!B13*HM!K13^2/2,2)</f>
        <v>909765550</v>
      </c>
      <c r="E13">
        <f t="shared" si="0"/>
        <v>6539987.2999999998</v>
      </c>
      <c r="F13">
        <f t="shared" si="1"/>
        <v>3032551.8</v>
      </c>
      <c r="G13">
        <f t="shared" si="2"/>
        <v>232.7</v>
      </c>
      <c r="H13">
        <f t="shared" si="3"/>
        <v>165.5</v>
      </c>
      <c r="I13">
        <f t="shared" si="4"/>
        <v>260.83800000000002</v>
      </c>
      <c r="J13">
        <f>HM!J13</f>
        <v>550</v>
      </c>
      <c r="K13">
        <f>2*HM!K13</f>
        <v>600</v>
      </c>
      <c r="L13">
        <f>HM!L13</f>
        <v>11</v>
      </c>
      <c r="M13">
        <f>HM!M13</f>
        <v>18</v>
      </c>
      <c r="N13">
        <f>HM!K13</f>
        <v>300</v>
      </c>
      <c r="O13">
        <f t="shared" si="5"/>
        <v>18</v>
      </c>
    </row>
    <row r="14" spans="1:15" x14ac:dyDescent="0.3">
      <c r="A14" t="str">
        <f>"2"&amp;HM!A14</f>
        <v>2HM582X300</v>
      </c>
      <c r="B14">
        <f>2*HM!B14</f>
        <v>33871.800000000003</v>
      </c>
      <c r="C14">
        <f>2*HM!C14</f>
        <v>1981148720</v>
      </c>
      <c r="D14">
        <f>ROUND(2*HM!D14+HM!B14*HM!K14^2/2,2)</f>
        <v>915302182</v>
      </c>
      <c r="E14">
        <f t="shared" si="0"/>
        <v>6808071.2000000002</v>
      </c>
      <c r="F14">
        <f t="shared" si="1"/>
        <v>3051007.3</v>
      </c>
      <c r="G14">
        <f t="shared" si="2"/>
        <v>241.8</v>
      </c>
      <c r="H14">
        <f t="shared" si="3"/>
        <v>164.4</v>
      </c>
      <c r="I14">
        <f t="shared" si="4"/>
        <v>265.89400000000001</v>
      </c>
      <c r="J14">
        <f>HM!J14</f>
        <v>582</v>
      </c>
      <c r="K14">
        <f>2*HM!K14</f>
        <v>600</v>
      </c>
      <c r="L14">
        <f>HM!L14</f>
        <v>12</v>
      </c>
      <c r="M14">
        <f>HM!M14</f>
        <v>17</v>
      </c>
      <c r="N14">
        <f>HM!K14</f>
        <v>300</v>
      </c>
      <c r="O14">
        <f t="shared" si="5"/>
        <v>17</v>
      </c>
    </row>
    <row r="15" spans="1:15" x14ac:dyDescent="0.3">
      <c r="A15" t="str">
        <f>"2"&amp;HM!A15</f>
        <v>2HM588X300</v>
      </c>
      <c r="B15">
        <f>2*HM!B15</f>
        <v>37471.800000000003</v>
      </c>
      <c r="C15">
        <f>2*HM!C15</f>
        <v>2289154000</v>
      </c>
      <c r="D15">
        <f>ROUND(2*HM!D15+HM!B15*HM!K15^2/2,2)</f>
        <v>1023302182</v>
      </c>
      <c r="E15">
        <f t="shared" si="0"/>
        <v>7786238.0999999996</v>
      </c>
      <c r="F15">
        <f t="shared" si="1"/>
        <v>3411007.3</v>
      </c>
      <c r="G15">
        <f t="shared" si="2"/>
        <v>247.2</v>
      </c>
      <c r="H15">
        <f t="shared" si="3"/>
        <v>165.3</v>
      </c>
      <c r="I15">
        <f t="shared" si="4"/>
        <v>294.154</v>
      </c>
      <c r="J15">
        <f>HM!J15</f>
        <v>588</v>
      </c>
      <c r="K15">
        <f>2*HM!K15</f>
        <v>600</v>
      </c>
      <c r="L15">
        <f>HM!L15</f>
        <v>12</v>
      </c>
      <c r="M15">
        <f>HM!M15</f>
        <v>20</v>
      </c>
      <c r="N15">
        <f>HM!K15</f>
        <v>300</v>
      </c>
      <c r="O15">
        <f t="shared" si="5"/>
        <v>20</v>
      </c>
    </row>
    <row r="16" spans="1:15" x14ac:dyDescent="0.3">
      <c r="A16" t="str">
        <f>"2"&amp;HM!A16</f>
        <v>2HM594X302</v>
      </c>
      <c r="B16">
        <f>2*HM!B16</f>
        <v>43447.8</v>
      </c>
      <c r="C16">
        <f>2*HM!C16</f>
        <v>2673371000</v>
      </c>
      <c r="D16">
        <f>ROUND(2*HM!D16+HM!B16*HM!K16^2/2,2)</f>
        <v>1202106567.8</v>
      </c>
      <c r="E16">
        <f t="shared" si="0"/>
        <v>9001249.1999999993</v>
      </c>
      <c r="F16">
        <f t="shared" si="1"/>
        <v>3980485.3</v>
      </c>
      <c r="G16">
        <f t="shared" si="2"/>
        <v>248.1</v>
      </c>
      <c r="H16">
        <f t="shared" si="3"/>
        <v>166.3</v>
      </c>
      <c r="I16">
        <f t="shared" si="4"/>
        <v>341.065</v>
      </c>
      <c r="J16">
        <f>HM!J16</f>
        <v>594</v>
      </c>
      <c r="K16">
        <f>2*HM!K16</f>
        <v>604</v>
      </c>
      <c r="L16">
        <f>HM!L16</f>
        <v>14</v>
      </c>
      <c r="M16">
        <f>HM!M16</f>
        <v>23</v>
      </c>
      <c r="N16">
        <f>HM!K16</f>
        <v>302</v>
      </c>
      <c r="O16">
        <f t="shared" si="5"/>
        <v>23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7AF11-8CB5-40B3-86C7-EFCFA894CE9D}">
  <dimension ref="A1:N60"/>
  <sheetViews>
    <sheetView zoomScaleNormal="100" workbookViewId="0">
      <selection activeCell="M1" sqref="M1"/>
    </sheetView>
  </sheetViews>
  <sheetFormatPr defaultRowHeight="14" x14ac:dyDescent="0.3"/>
  <cols>
    <col min="1" max="1" width="12.75" customWidth="1"/>
    <col min="3" max="4" width="12.75" customWidth="1"/>
  </cols>
  <sheetData>
    <row r="1" spans="1:14" x14ac:dyDescent="0.3">
      <c r="A1" s="2" t="s">
        <v>96</v>
      </c>
      <c r="B1" s="3" t="s">
        <v>97</v>
      </c>
      <c r="C1" s="3" t="s">
        <v>114</v>
      </c>
      <c r="D1" s="3" t="s">
        <v>116</v>
      </c>
      <c r="E1" s="3" t="s">
        <v>118</v>
      </c>
      <c r="F1" s="3" t="s">
        <v>124</v>
      </c>
      <c r="G1" s="3" t="s">
        <v>120</v>
      </c>
      <c r="H1" s="3" t="s">
        <v>122</v>
      </c>
      <c r="I1" s="3" t="s">
        <v>126</v>
      </c>
      <c r="J1" s="3" t="s">
        <v>103</v>
      </c>
      <c r="K1" s="3" t="s">
        <v>104</v>
      </c>
      <c r="L1" s="5" t="s">
        <v>109</v>
      </c>
      <c r="M1" s="3" t="s">
        <v>111</v>
      </c>
      <c r="N1" s="3" t="s">
        <v>106</v>
      </c>
    </row>
    <row r="2" spans="1:14" x14ac:dyDescent="0.3">
      <c r="A2" t="s">
        <v>168</v>
      </c>
      <c r="B2">
        <v>1190.5999999999999</v>
      </c>
      <c r="C2">
        <v>1883909.3</v>
      </c>
      <c r="D2">
        <v>148076.1</v>
      </c>
      <c r="E2">
        <f t="shared" ref="E2:E33" si="0">ROUND(C2/J2*2,1)</f>
        <v>37678.199999999997</v>
      </c>
      <c r="F2">
        <f t="shared" ref="F2:F33" si="1">ROUND(D2/K2*2,1)</f>
        <v>5923</v>
      </c>
      <c r="G2">
        <f t="shared" ref="G2:G33" si="2">ROUND((C2/B2)^0.5,1)</f>
        <v>39.799999999999997</v>
      </c>
      <c r="H2">
        <f t="shared" ref="H2:H33" si="3">ROUND((D2/B2)^0.5,1)</f>
        <v>11.2</v>
      </c>
      <c r="I2">
        <f t="shared" ref="I2:I33" si="4">ROUND(0.00785*B2,3)</f>
        <v>9.3460000000000001</v>
      </c>
      <c r="J2">
        <v>100</v>
      </c>
      <c r="K2">
        <v>50</v>
      </c>
      <c r="L2">
        <v>5</v>
      </c>
      <c r="M2">
        <v>7</v>
      </c>
      <c r="N2">
        <v>8</v>
      </c>
    </row>
    <row r="3" spans="1:14" x14ac:dyDescent="0.3">
      <c r="A3" t="s">
        <v>169</v>
      </c>
      <c r="B3">
        <v>1674.6</v>
      </c>
      <c r="C3">
        <v>4105702.2</v>
      </c>
      <c r="D3">
        <v>291590.90000000002</v>
      </c>
      <c r="E3">
        <f t="shared" si="0"/>
        <v>65691.199999999997</v>
      </c>
      <c r="F3">
        <f t="shared" si="1"/>
        <v>9719.7000000000007</v>
      </c>
      <c r="G3">
        <f t="shared" si="2"/>
        <v>49.5</v>
      </c>
      <c r="H3">
        <f t="shared" si="3"/>
        <v>13.2</v>
      </c>
      <c r="I3">
        <f t="shared" si="4"/>
        <v>13.146000000000001</v>
      </c>
      <c r="J3">
        <v>125</v>
      </c>
      <c r="K3">
        <v>60</v>
      </c>
      <c r="L3">
        <v>6</v>
      </c>
      <c r="M3">
        <v>8</v>
      </c>
      <c r="N3">
        <v>8</v>
      </c>
    </row>
    <row r="4" spans="1:14" x14ac:dyDescent="0.3">
      <c r="A4" t="s">
        <v>170</v>
      </c>
      <c r="B4">
        <v>1790.6</v>
      </c>
      <c r="C4">
        <v>6685009</v>
      </c>
      <c r="D4">
        <v>494951.1</v>
      </c>
      <c r="E4">
        <f t="shared" si="0"/>
        <v>89133.5</v>
      </c>
      <c r="F4">
        <f t="shared" si="1"/>
        <v>13198.7</v>
      </c>
      <c r="G4">
        <f t="shared" si="2"/>
        <v>61.1</v>
      </c>
      <c r="H4">
        <f t="shared" si="3"/>
        <v>16.600000000000001</v>
      </c>
      <c r="I4">
        <f t="shared" si="4"/>
        <v>14.055999999999999</v>
      </c>
      <c r="J4">
        <v>150</v>
      </c>
      <c r="K4">
        <v>75</v>
      </c>
      <c r="L4">
        <v>5</v>
      </c>
      <c r="M4">
        <v>7</v>
      </c>
      <c r="N4">
        <v>8</v>
      </c>
    </row>
    <row r="5" spans="1:14" x14ac:dyDescent="0.3">
      <c r="A5" t="s">
        <v>171</v>
      </c>
      <c r="B5">
        <v>2295.6</v>
      </c>
      <c r="C5">
        <v>12087419</v>
      </c>
      <c r="D5">
        <v>975003.2</v>
      </c>
      <c r="E5">
        <f t="shared" si="0"/>
        <v>138141.9</v>
      </c>
      <c r="F5">
        <f t="shared" si="1"/>
        <v>21666.7</v>
      </c>
      <c r="G5">
        <f t="shared" si="2"/>
        <v>72.599999999999994</v>
      </c>
      <c r="H5">
        <f t="shared" si="3"/>
        <v>20.6</v>
      </c>
      <c r="I5">
        <f t="shared" si="4"/>
        <v>18.02</v>
      </c>
      <c r="J5">
        <v>175</v>
      </c>
      <c r="K5">
        <v>90</v>
      </c>
      <c r="L5">
        <v>5</v>
      </c>
      <c r="M5">
        <v>8</v>
      </c>
      <c r="N5">
        <v>8</v>
      </c>
    </row>
    <row r="6" spans="1:14" x14ac:dyDescent="0.3">
      <c r="A6" t="s">
        <v>172</v>
      </c>
      <c r="B6">
        <v>2274.6</v>
      </c>
      <c r="C6">
        <v>15474175</v>
      </c>
      <c r="D6">
        <v>1134630.1000000001</v>
      </c>
      <c r="E6">
        <f t="shared" si="0"/>
        <v>156304.79999999999</v>
      </c>
      <c r="F6">
        <f t="shared" si="1"/>
        <v>22921.8</v>
      </c>
      <c r="G6">
        <f t="shared" si="2"/>
        <v>82.5</v>
      </c>
      <c r="H6">
        <f t="shared" si="3"/>
        <v>22.3</v>
      </c>
      <c r="I6">
        <f t="shared" si="4"/>
        <v>17.856000000000002</v>
      </c>
      <c r="J6">
        <v>198</v>
      </c>
      <c r="K6">
        <v>99</v>
      </c>
      <c r="L6">
        <v>4.5</v>
      </c>
      <c r="M6">
        <v>7</v>
      </c>
      <c r="N6">
        <v>8</v>
      </c>
    </row>
    <row r="7" spans="1:14" x14ac:dyDescent="0.3">
      <c r="A7" t="s">
        <v>173</v>
      </c>
      <c r="B7">
        <v>2672.6</v>
      </c>
      <c r="C7">
        <v>18101108</v>
      </c>
      <c r="D7">
        <v>1337368.5</v>
      </c>
      <c r="E7">
        <f t="shared" si="0"/>
        <v>181011.1</v>
      </c>
      <c r="F7">
        <f t="shared" si="1"/>
        <v>26747.4</v>
      </c>
      <c r="G7">
        <f t="shared" si="2"/>
        <v>82.3</v>
      </c>
      <c r="H7">
        <f t="shared" si="3"/>
        <v>22.4</v>
      </c>
      <c r="I7">
        <f t="shared" si="4"/>
        <v>20.98</v>
      </c>
      <c r="J7">
        <v>200</v>
      </c>
      <c r="K7">
        <v>100</v>
      </c>
      <c r="L7">
        <v>5.5</v>
      </c>
      <c r="M7">
        <v>8</v>
      </c>
      <c r="N7">
        <v>8</v>
      </c>
    </row>
    <row r="8" spans="1:14" x14ac:dyDescent="0.3">
      <c r="A8" t="s">
        <v>174</v>
      </c>
      <c r="B8">
        <v>3204.6</v>
      </c>
      <c r="C8">
        <v>34571758</v>
      </c>
      <c r="D8">
        <v>2545928.9</v>
      </c>
      <c r="E8">
        <f t="shared" si="0"/>
        <v>278804.5</v>
      </c>
      <c r="F8">
        <f t="shared" si="1"/>
        <v>41063.4</v>
      </c>
      <c r="G8">
        <f t="shared" si="2"/>
        <v>103.9</v>
      </c>
      <c r="H8">
        <f t="shared" si="3"/>
        <v>28.2</v>
      </c>
      <c r="I8">
        <f t="shared" si="4"/>
        <v>25.155999999999999</v>
      </c>
      <c r="J8">
        <v>248</v>
      </c>
      <c r="K8">
        <v>124</v>
      </c>
      <c r="L8">
        <v>5</v>
      </c>
      <c r="M8">
        <v>8</v>
      </c>
      <c r="N8">
        <v>8</v>
      </c>
    </row>
    <row r="9" spans="1:14" x14ac:dyDescent="0.3">
      <c r="A9" t="s">
        <v>175</v>
      </c>
      <c r="B9">
        <v>3702.6</v>
      </c>
      <c r="C9">
        <v>39717924</v>
      </c>
      <c r="D9">
        <v>2935492.4</v>
      </c>
      <c r="E9">
        <f t="shared" si="0"/>
        <v>317743.40000000002</v>
      </c>
      <c r="F9">
        <f t="shared" si="1"/>
        <v>46967.9</v>
      </c>
      <c r="G9">
        <f t="shared" si="2"/>
        <v>103.6</v>
      </c>
      <c r="H9">
        <f t="shared" si="3"/>
        <v>28.2</v>
      </c>
      <c r="I9">
        <f t="shared" si="4"/>
        <v>29.065000000000001</v>
      </c>
      <c r="J9">
        <v>250</v>
      </c>
      <c r="K9">
        <v>125</v>
      </c>
      <c r="L9">
        <v>6</v>
      </c>
      <c r="M9">
        <v>9</v>
      </c>
      <c r="N9">
        <v>8</v>
      </c>
    </row>
    <row r="10" spans="1:14" x14ac:dyDescent="0.3">
      <c r="A10" t="s">
        <v>176</v>
      </c>
      <c r="B10">
        <v>4094.9</v>
      </c>
      <c r="C10">
        <v>63457470</v>
      </c>
      <c r="D10">
        <v>4421170.5</v>
      </c>
      <c r="E10">
        <f t="shared" si="0"/>
        <v>425889.1</v>
      </c>
      <c r="F10">
        <f t="shared" si="1"/>
        <v>59344.6</v>
      </c>
      <c r="G10">
        <f t="shared" si="2"/>
        <v>124.5</v>
      </c>
      <c r="H10">
        <f t="shared" si="3"/>
        <v>32.9</v>
      </c>
      <c r="I10">
        <f t="shared" si="4"/>
        <v>32.145000000000003</v>
      </c>
      <c r="J10">
        <v>298</v>
      </c>
      <c r="K10">
        <v>149</v>
      </c>
      <c r="L10">
        <v>5.5</v>
      </c>
      <c r="M10">
        <v>8</v>
      </c>
      <c r="N10">
        <v>13</v>
      </c>
    </row>
    <row r="11" spans="1:14" x14ac:dyDescent="0.3">
      <c r="A11" t="s">
        <v>177</v>
      </c>
      <c r="B11">
        <v>4692.8999999999996</v>
      </c>
      <c r="C11">
        <v>72367869</v>
      </c>
      <c r="D11">
        <v>5076590.7</v>
      </c>
      <c r="E11">
        <f t="shared" si="0"/>
        <v>482452.5</v>
      </c>
      <c r="F11">
        <f t="shared" si="1"/>
        <v>67687.899999999994</v>
      </c>
      <c r="G11">
        <f t="shared" si="2"/>
        <v>124.2</v>
      </c>
      <c r="H11">
        <f t="shared" si="3"/>
        <v>32.9</v>
      </c>
      <c r="I11">
        <f t="shared" si="4"/>
        <v>36.838999999999999</v>
      </c>
      <c r="J11">
        <v>300</v>
      </c>
      <c r="K11">
        <v>150</v>
      </c>
      <c r="L11">
        <v>6.5</v>
      </c>
      <c r="M11">
        <v>9</v>
      </c>
      <c r="N11">
        <v>13</v>
      </c>
    </row>
    <row r="12" spans="1:14" x14ac:dyDescent="0.3">
      <c r="A12" t="s">
        <v>178</v>
      </c>
      <c r="B12">
        <v>5259.9</v>
      </c>
      <c r="C12">
        <v>110731260</v>
      </c>
      <c r="D12">
        <v>7915079.5999999996</v>
      </c>
      <c r="E12">
        <f t="shared" si="0"/>
        <v>640065.1</v>
      </c>
      <c r="F12">
        <f t="shared" si="1"/>
        <v>90977.9</v>
      </c>
      <c r="G12">
        <f t="shared" si="2"/>
        <v>145.1</v>
      </c>
      <c r="H12">
        <f t="shared" si="3"/>
        <v>38.799999999999997</v>
      </c>
      <c r="I12">
        <f t="shared" si="4"/>
        <v>41.29</v>
      </c>
      <c r="J12">
        <v>346</v>
      </c>
      <c r="K12">
        <v>174</v>
      </c>
      <c r="L12">
        <v>6</v>
      </c>
      <c r="M12">
        <v>9</v>
      </c>
      <c r="N12">
        <v>13</v>
      </c>
    </row>
    <row r="13" spans="1:14" x14ac:dyDescent="0.3">
      <c r="A13" t="s">
        <v>179</v>
      </c>
      <c r="B13">
        <v>6305.9</v>
      </c>
      <c r="C13">
        <v>135376510</v>
      </c>
      <c r="D13">
        <v>9843050.6999999993</v>
      </c>
      <c r="E13">
        <f t="shared" si="0"/>
        <v>773580.1</v>
      </c>
      <c r="F13">
        <f t="shared" si="1"/>
        <v>112492</v>
      </c>
      <c r="G13">
        <f t="shared" si="2"/>
        <v>146.5</v>
      </c>
      <c r="H13">
        <f t="shared" si="3"/>
        <v>39.5</v>
      </c>
      <c r="I13">
        <f t="shared" si="4"/>
        <v>49.500999999999998</v>
      </c>
      <c r="J13">
        <v>350</v>
      </c>
      <c r="K13">
        <v>175</v>
      </c>
      <c r="L13">
        <v>7</v>
      </c>
      <c r="M13">
        <v>11</v>
      </c>
      <c r="N13">
        <v>13</v>
      </c>
    </row>
    <row r="14" spans="1:14" x14ac:dyDescent="0.3">
      <c r="A14" t="s">
        <v>180</v>
      </c>
      <c r="B14">
        <v>7051.9</v>
      </c>
      <c r="C14">
        <v>186365610</v>
      </c>
      <c r="D14">
        <v>7337706.7999999998</v>
      </c>
      <c r="E14">
        <f t="shared" si="0"/>
        <v>931828.1</v>
      </c>
      <c r="F14">
        <f t="shared" si="1"/>
        <v>97836.1</v>
      </c>
      <c r="G14">
        <f t="shared" si="2"/>
        <v>162.6</v>
      </c>
      <c r="H14">
        <f t="shared" si="3"/>
        <v>32.299999999999997</v>
      </c>
      <c r="I14">
        <f t="shared" si="4"/>
        <v>55.356999999999999</v>
      </c>
      <c r="J14">
        <v>400</v>
      </c>
      <c r="K14">
        <v>150</v>
      </c>
      <c r="L14">
        <v>8</v>
      </c>
      <c r="M14">
        <v>13</v>
      </c>
      <c r="N14">
        <v>13</v>
      </c>
    </row>
    <row r="15" spans="1:14" x14ac:dyDescent="0.3">
      <c r="A15" t="s">
        <v>181</v>
      </c>
      <c r="B15">
        <v>7155.9</v>
      </c>
      <c r="C15">
        <v>198202850</v>
      </c>
      <c r="D15">
        <v>14466610</v>
      </c>
      <c r="E15">
        <f t="shared" si="0"/>
        <v>1001024.5</v>
      </c>
      <c r="F15">
        <f t="shared" si="1"/>
        <v>145393.1</v>
      </c>
      <c r="G15">
        <f t="shared" si="2"/>
        <v>166.4</v>
      </c>
      <c r="H15">
        <f t="shared" si="3"/>
        <v>45</v>
      </c>
      <c r="I15">
        <f t="shared" si="4"/>
        <v>56.173999999999999</v>
      </c>
      <c r="J15">
        <v>396</v>
      </c>
      <c r="K15">
        <v>199</v>
      </c>
      <c r="L15">
        <v>7</v>
      </c>
      <c r="M15">
        <v>11</v>
      </c>
      <c r="N15">
        <v>13</v>
      </c>
    </row>
    <row r="16" spans="1:14" x14ac:dyDescent="0.3">
      <c r="A16" t="s">
        <v>182</v>
      </c>
      <c r="B16">
        <v>8351.9</v>
      </c>
      <c r="C16">
        <v>235058850</v>
      </c>
      <c r="D16">
        <v>17358540</v>
      </c>
      <c r="E16">
        <f t="shared" si="0"/>
        <v>1175294.3</v>
      </c>
      <c r="F16">
        <f t="shared" si="1"/>
        <v>173585.4</v>
      </c>
      <c r="G16">
        <f t="shared" si="2"/>
        <v>167.8</v>
      </c>
      <c r="H16">
        <f t="shared" si="3"/>
        <v>45.6</v>
      </c>
      <c r="I16">
        <f t="shared" si="4"/>
        <v>65.561999999999998</v>
      </c>
      <c r="J16">
        <v>400</v>
      </c>
      <c r="K16">
        <v>200</v>
      </c>
      <c r="L16">
        <v>8</v>
      </c>
      <c r="M16">
        <v>13</v>
      </c>
      <c r="N16">
        <v>13</v>
      </c>
    </row>
    <row r="17" spans="1:14" x14ac:dyDescent="0.3">
      <c r="A17" t="s">
        <v>183</v>
      </c>
      <c r="B17">
        <v>6713.9</v>
      </c>
      <c r="C17">
        <v>220316000</v>
      </c>
      <c r="D17">
        <v>6770216.7000000002</v>
      </c>
      <c r="E17">
        <f t="shared" si="0"/>
        <v>987964.1</v>
      </c>
      <c r="F17">
        <f t="shared" si="1"/>
        <v>90269.6</v>
      </c>
      <c r="G17">
        <f t="shared" si="2"/>
        <v>181.1</v>
      </c>
      <c r="H17">
        <f t="shared" si="3"/>
        <v>31.8</v>
      </c>
      <c r="I17">
        <f t="shared" si="4"/>
        <v>52.704000000000001</v>
      </c>
      <c r="J17">
        <v>446</v>
      </c>
      <c r="K17">
        <v>150</v>
      </c>
      <c r="L17">
        <v>7</v>
      </c>
      <c r="M17">
        <v>12</v>
      </c>
      <c r="N17">
        <v>13</v>
      </c>
    </row>
    <row r="18" spans="1:14" x14ac:dyDescent="0.3">
      <c r="A18" t="s">
        <v>184</v>
      </c>
      <c r="B18">
        <v>7763.9</v>
      </c>
      <c r="C18">
        <v>258015550</v>
      </c>
      <c r="D18">
        <v>8060807.0999999996</v>
      </c>
      <c r="E18">
        <f t="shared" si="0"/>
        <v>1146735.8</v>
      </c>
      <c r="F18">
        <f t="shared" si="1"/>
        <v>106765.7</v>
      </c>
      <c r="G18">
        <f t="shared" si="2"/>
        <v>182.3</v>
      </c>
      <c r="H18">
        <f t="shared" si="3"/>
        <v>32.200000000000003</v>
      </c>
      <c r="I18">
        <f t="shared" si="4"/>
        <v>60.947000000000003</v>
      </c>
      <c r="J18">
        <v>450</v>
      </c>
      <c r="K18">
        <v>151</v>
      </c>
      <c r="L18">
        <v>8</v>
      </c>
      <c r="M18">
        <v>14</v>
      </c>
      <c r="N18">
        <v>13</v>
      </c>
    </row>
    <row r="19" spans="1:14" x14ac:dyDescent="0.3">
      <c r="A19" t="s">
        <v>185</v>
      </c>
      <c r="B19">
        <v>8311.9</v>
      </c>
      <c r="C19">
        <v>281969400</v>
      </c>
      <c r="D19">
        <v>15788453</v>
      </c>
      <c r="E19">
        <f t="shared" si="0"/>
        <v>1264436.8</v>
      </c>
      <c r="F19">
        <f t="shared" si="1"/>
        <v>158677.9</v>
      </c>
      <c r="G19">
        <f t="shared" si="2"/>
        <v>184.2</v>
      </c>
      <c r="H19">
        <f t="shared" si="3"/>
        <v>43.6</v>
      </c>
      <c r="I19">
        <f t="shared" si="4"/>
        <v>65.248000000000005</v>
      </c>
      <c r="J19">
        <v>446</v>
      </c>
      <c r="K19">
        <v>199</v>
      </c>
      <c r="L19">
        <v>8</v>
      </c>
      <c r="M19">
        <v>12</v>
      </c>
      <c r="N19">
        <v>13</v>
      </c>
    </row>
    <row r="20" spans="1:14" x14ac:dyDescent="0.3">
      <c r="A20" t="s">
        <v>186</v>
      </c>
      <c r="B20">
        <v>9557.9</v>
      </c>
      <c r="C20">
        <v>329503510</v>
      </c>
      <c r="D20">
        <v>18702728</v>
      </c>
      <c r="E20">
        <f t="shared" si="0"/>
        <v>1464460</v>
      </c>
      <c r="F20">
        <f t="shared" si="1"/>
        <v>187027.3</v>
      </c>
      <c r="G20">
        <f t="shared" si="2"/>
        <v>185.7</v>
      </c>
      <c r="H20">
        <f t="shared" si="3"/>
        <v>44.2</v>
      </c>
      <c r="I20">
        <f t="shared" si="4"/>
        <v>75.03</v>
      </c>
      <c r="J20">
        <v>450</v>
      </c>
      <c r="K20">
        <v>200</v>
      </c>
      <c r="L20">
        <v>9</v>
      </c>
      <c r="M20">
        <v>14</v>
      </c>
      <c r="N20">
        <v>13</v>
      </c>
    </row>
    <row r="21" spans="1:14" x14ac:dyDescent="0.3">
      <c r="A21" t="s">
        <v>187</v>
      </c>
      <c r="B21">
        <v>7167.9</v>
      </c>
      <c r="C21">
        <v>262405840</v>
      </c>
      <c r="D21">
        <v>7333345.5</v>
      </c>
      <c r="E21">
        <f t="shared" si="0"/>
        <v>1116620.6000000001</v>
      </c>
      <c r="F21">
        <f t="shared" si="1"/>
        <v>97777.9</v>
      </c>
      <c r="G21">
        <f t="shared" si="2"/>
        <v>191.3</v>
      </c>
      <c r="H21">
        <f t="shared" si="3"/>
        <v>32</v>
      </c>
      <c r="I21">
        <f t="shared" si="4"/>
        <v>56.268000000000001</v>
      </c>
      <c r="J21">
        <v>470</v>
      </c>
      <c r="K21">
        <v>150</v>
      </c>
      <c r="L21">
        <v>7</v>
      </c>
      <c r="M21">
        <v>13</v>
      </c>
      <c r="N21">
        <v>13</v>
      </c>
    </row>
    <row r="22" spans="1:14" x14ac:dyDescent="0.3">
      <c r="A22" t="s">
        <v>188</v>
      </c>
      <c r="B22">
        <v>8630.4</v>
      </c>
      <c r="C22">
        <v>317663260</v>
      </c>
      <c r="D22">
        <v>9015486.4000000004</v>
      </c>
      <c r="E22">
        <f t="shared" si="0"/>
        <v>1337529.5</v>
      </c>
      <c r="F22">
        <f t="shared" si="1"/>
        <v>119016.3</v>
      </c>
      <c r="G22">
        <f t="shared" si="2"/>
        <v>191.9</v>
      </c>
      <c r="H22">
        <f t="shared" si="3"/>
        <v>32.299999999999997</v>
      </c>
      <c r="I22">
        <f t="shared" si="4"/>
        <v>67.748999999999995</v>
      </c>
      <c r="J22">
        <v>475</v>
      </c>
      <c r="K22">
        <v>151.5</v>
      </c>
      <c r="L22">
        <v>8.5</v>
      </c>
      <c r="M22">
        <v>15.5</v>
      </c>
      <c r="N22">
        <v>13</v>
      </c>
    </row>
    <row r="23" spans="1:14" x14ac:dyDescent="0.3">
      <c r="A23" t="s">
        <v>189</v>
      </c>
      <c r="B23">
        <v>10654.9</v>
      </c>
      <c r="C23">
        <v>397031320</v>
      </c>
      <c r="D23">
        <v>11508386</v>
      </c>
      <c r="E23">
        <f t="shared" si="0"/>
        <v>1647432.9</v>
      </c>
      <c r="F23">
        <f t="shared" si="1"/>
        <v>149946.4</v>
      </c>
      <c r="G23">
        <f t="shared" si="2"/>
        <v>193</v>
      </c>
      <c r="H23">
        <f t="shared" si="3"/>
        <v>32.9</v>
      </c>
      <c r="I23">
        <f t="shared" si="4"/>
        <v>83.641000000000005</v>
      </c>
      <c r="J23">
        <v>482</v>
      </c>
      <c r="K23">
        <v>153.5</v>
      </c>
      <c r="L23">
        <v>10.5</v>
      </c>
      <c r="M23">
        <v>19</v>
      </c>
      <c r="N23">
        <v>13</v>
      </c>
    </row>
    <row r="24" spans="1:14" x14ac:dyDescent="0.3">
      <c r="A24" t="s">
        <v>190</v>
      </c>
      <c r="B24">
        <v>7035.9</v>
      </c>
      <c r="C24">
        <v>275724930</v>
      </c>
      <c r="D24">
        <v>6771531.5</v>
      </c>
      <c r="E24">
        <f t="shared" si="0"/>
        <v>1120833</v>
      </c>
      <c r="F24">
        <f t="shared" si="1"/>
        <v>90287.1</v>
      </c>
      <c r="G24">
        <f t="shared" si="2"/>
        <v>198</v>
      </c>
      <c r="H24">
        <f t="shared" si="3"/>
        <v>31</v>
      </c>
      <c r="I24">
        <f t="shared" si="4"/>
        <v>55.231999999999999</v>
      </c>
      <c r="J24">
        <v>492</v>
      </c>
      <c r="K24">
        <v>150</v>
      </c>
      <c r="L24">
        <v>7</v>
      </c>
      <c r="M24">
        <v>12</v>
      </c>
      <c r="N24">
        <v>13</v>
      </c>
    </row>
    <row r="25" spans="1:14" x14ac:dyDescent="0.3">
      <c r="A25" t="s">
        <v>191</v>
      </c>
      <c r="B25">
        <v>9235.9</v>
      </c>
      <c r="C25">
        <v>370364660</v>
      </c>
      <c r="D25">
        <v>9403676.6999999993</v>
      </c>
      <c r="E25">
        <f t="shared" si="0"/>
        <v>1481458.6</v>
      </c>
      <c r="F25">
        <f t="shared" si="1"/>
        <v>123732.6</v>
      </c>
      <c r="G25">
        <f t="shared" si="2"/>
        <v>200.3</v>
      </c>
      <c r="H25">
        <f t="shared" si="3"/>
        <v>31.9</v>
      </c>
      <c r="I25">
        <f t="shared" si="4"/>
        <v>72.501999999999995</v>
      </c>
      <c r="J25">
        <v>500</v>
      </c>
      <c r="K25">
        <v>152</v>
      </c>
      <c r="L25">
        <v>9</v>
      </c>
      <c r="M25">
        <v>16</v>
      </c>
      <c r="N25">
        <v>13</v>
      </c>
    </row>
    <row r="26" spans="1:14" x14ac:dyDescent="0.3">
      <c r="A26" t="s">
        <v>192</v>
      </c>
      <c r="B26">
        <v>10347.9</v>
      </c>
      <c r="C26">
        <v>419338150</v>
      </c>
      <c r="D26">
        <v>10795410</v>
      </c>
      <c r="E26">
        <f t="shared" si="0"/>
        <v>1664040.3</v>
      </c>
      <c r="F26">
        <f t="shared" si="1"/>
        <v>141116.5</v>
      </c>
      <c r="G26">
        <f t="shared" si="2"/>
        <v>201.3</v>
      </c>
      <c r="H26">
        <f t="shared" si="3"/>
        <v>32.299999999999997</v>
      </c>
      <c r="I26">
        <f t="shared" si="4"/>
        <v>81.230999999999995</v>
      </c>
      <c r="J26">
        <v>504</v>
      </c>
      <c r="K26">
        <v>153</v>
      </c>
      <c r="L26">
        <v>10</v>
      </c>
      <c r="M26">
        <v>18</v>
      </c>
      <c r="N26">
        <v>13</v>
      </c>
    </row>
    <row r="27" spans="1:14" x14ac:dyDescent="0.3">
      <c r="A27" t="s">
        <v>193</v>
      </c>
      <c r="B27">
        <v>9943.9</v>
      </c>
      <c r="C27">
        <v>409123940</v>
      </c>
      <c r="D27">
        <v>18426920</v>
      </c>
      <c r="E27">
        <f t="shared" si="0"/>
        <v>1649693.3</v>
      </c>
      <c r="F27">
        <f t="shared" si="1"/>
        <v>185195.2</v>
      </c>
      <c r="G27">
        <f t="shared" si="2"/>
        <v>202.8</v>
      </c>
      <c r="H27">
        <f t="shared" si="3"/>
        <v>43</v>
      </c>
      <c r="I27">
        <f t="shared" si="4"/>
        <v>78.06</v>
      </c>
      <c r="J27">
        <v>496</v>
      </c>
      <c r="K27">
        <v>199</v>
      </c>
      <c r="L27">
        <v>9</v>
      </c>
      <c r="M27">
        <v>14</v>
      </c>
      <c r="N27">
        <v>13</v>
      </c>
    </row>
    <row r="28" spans="1:14" x14ac:dyDescent="0.3">
      <c r="A28" t="s">
        <v>194</v>
      </c>
      <c r="B28">
        <v>11239.9</v>
      </c>
      <c r="C28">
        <v>468893670</v>
      </c>
      <c r="D28">
        <v>21384013</v>
      </c>
      <c r="E28">
        <f t="shared" si="0"/>
        <v>1875574.7</v>
      </c>
      <c r="F28">
        <f t="shared" si="1"/>
        <v>213840.1</v>
      </c>
      <c r="G28">
        <f t="shared" si="2"/>
        <v>204.2</v>
      </c>
      <c r="H28">
        <f t="shared" si="3"/>
        <v>43.6</v>
      </c>
      <c r="I28">
        <f t="shared" si="4"/>
        <v>88.233000000000004</v>
      </c>
      <c r="J28">
        <v>500</v>
      </c>
      <c r="K28">
        <v>200</v>
      </c>
      <c r="L28">
        <v>10</v>
      </c>
      <c r="M28">
        <v>16</v>
      </c>
      <c r="N28">
        <v>13</v>
      </c>
    </row>
    <row r="29" spans="1:14" x14ac:dyDescent="0.3">
      <c r="A29" t="s">
        <v>195</v>
      </c>
      <c r="B29">
        <v>12945.9</v>
      </c>
      <c r="C29" s="1">
        <v>556000000</v>
      </c>
      <c r="D29">
        <v>25780160</v>
      </c>
      <c r="E29">
        <f t="shared" si="0"/>
        <v>2197628.5</v>
      </c>
      <c r="F29">
        <f t="shared" si="1"/>
        <v>256519</v>
      </c>
      <c r="G29">
        <f t="shared" si="2"/>
        <v>207.2</v>
      </c>
      <c r="H29">
        <f t="shared" si="3"/>
        <v>44.6</v>
      </c>
      <c r="I29">
        <f t="shared" si="4"/>
        <v>101.625</v>
      </c>
      <c r="J29">
        <v>506</v>
      </c>
      <c r="K29">
        <v>201</v>
      </c>
      <c r="L29">
        <v>11</v>
      </c>
      <c r="M29">
        <v>19</v>
      </c>
      <c r="N29">
        <v>13</v>
      </c>
    </row>
    <row r="30" spans="1:14" x14ac:dyDescent="0.3">
      <c r="A30" t="s">
        <v>196</v>
      </c>
      <c r="B30">
        <v>10393.9</v>
      </c>
      <c r="C30">
        <v>509061890</v>
      </c>
      <c r="D30">
        <v>18429957</v>
      </c>
      <c r="E30">
        <f t="shared" si="0"/>
        <v>1864695.6</v>
      </c>
      <c r="F30">
        <f t="shared" si="1"/>
        <v>185225.7</v>
      </c>
      <c r="G30">
        <f t="shared" si="2"/>
        <v>221.3</v>
      </c>
      <c r="H30">
        <f t="shared" si="3"/>
        <v>42.1</v>
      </c>
      <c r="I30">
        <f t="shared" si="4"/>
        <v>81.591999999999999</v>
      </c>
      <c r="J30">
        <v>546</v>
      </c>
      <c r="K30">
        <v>199</v>
      </c>
      <c r="L30">
        <v>9</v>
      </c>
      <c r="M30">
        <v>14</v>
      </c>
      <c r="N30">
        <v>13</v>
      </c>
    </row>
    <row r="31" spans="1:14" x14ac:dyDescent="0.3">
      <c r="A31" t="s">
        <v>197</v>
      </c>
      <c r="B31">
        <v>11739.9</v>
      </c>
      <c r="C31">
        <v>582687230</v>
      </c>
      <c r="D31">
        <v>21388179</v>
      </c>
      <c r="E31">
        <f t="shared" si="0"/>
        <v>2118862.7000000002</v>
      </c>
      <c r="F31">
        <f t="shared" si="1"/>
        <v>213881.8</v>
      </c>
      <c r="G31">
        <f t="shared" si="2"/>
        <v>222.8</v>
      </c>
      <c r="H31">
        <f t="shared" si="3"/>
        <v>42.7</v>
      </c>
      <c r="I31">
        <f t="shared" si="4"/>
        <v>92.158000000000001</v>
      </c>
      <c r="J31">
        <v>550</v>
      </c>
      <c r="K31">
        <v>200</v>
      </c>
      <c r="L31">
        <v>10</v>
      </c>
      <c r="M31">
        <v>16</v>
      </c>
      <c r="N31">
        <v>13</v>
      </c>
    </row>
    <row r="32" spans="1:14" x14ac:dyDescent="0.3">
      <c r="A32" t="s">
        <v>198</v>
      </c>
      <c r="B32">
        <v>11789.9</v>
      </c>
      <c r="C32">
        <v>667554170</v>
      </c>
      <c r="D32">
        <v>19760343</v>
      </c>
      <c r="E32">
        <f t="shared" si="0"/>
        <v>2240114.7000000002</v>
      </c>
      <c r="F32">
        <f t="shared" si="1"/>
        <v>198596.4</v>
      </c>
      <c r="G32">
        <f t="shared" si="2"/>
        <v>238</v>
      </c>
      <c r="H32">
        <f t="shared" si="3"/>
        <v>40.9</v>
      </c>
      <c r="I32">
        <f t="shared" si="4"/>
        <v>92.551000000000002</v>
      </c>
      <c r="J32">
        <v>596</v>
      </c>
      <c r="K32">
        <v>199</v>
      </c>
      <c r="L32">
        <v>10</v>
      </c>
      <c r="M32">
        <v>15</v>
      </c>
      <c r="N32">
        <v>13</v>
      </c>
    </row>
    <row r="33" spans="1:14" x14ac:dyDescent="0.3">
      <c r="A33" t="s">
        <v>74</v>
      </c>
      <c r="B33">
        <v>13185.9</v>
      </c>
      <c r="C33">
        <v>756717630</v>
      </c>
      <c r="D33">
        <v>22742460</v>
      </c>
      <c r="E33">
        <f t="shared" si="0"/>
        <v>2522392.1</v>
      </c>
      <c r="F33">
        <f t="shared" si="1"/>
        <v>227424.6</v>
      </c>
      <c r="G33">
        <f t="shared" si="2"/>
        <v>239.6</v>
      </c>
      <c r="H33">
        <f t="shared" si="3"/>
        <v>41.5</v>
      </c>
      <c r="I33">
        <f t="shared" si="4"/>
        <v>103.509</v>
      </c>
      <c r="J33">
        <v>600</v>
      </c>
      <c r="K33">
        <v>200</v>
      </c>
      <c r="L33">
        <v>11</v>
      </c>
      <c r="M33">
        <v>17</v>
      </c>
      <c r="N33">
        <v>13</v>
      </c>
    </row>
    <row r="34" spans="1:14" x14ac:dyDescent="0.3">
      <c r="A34" t="s">
        <v>75</v>
      </c>
      <c r="B34">
        <v>14991.9</v>
      </c>
      <c r="C34">
        <v>884346650</v>
      </c>
      <c r="D34">
        <v>27164603</v>
      </c>
      <c r="E34">
        <f t="shared" ref="E34:E60" si="5">ROUND(C34/J34*2,1)</f>
        <v>2918635.8</v>
      </c>
      <c r="F34">
        <f t="shared" ref="F34:F60" si="6">ROUND(D34/K34*2,1)</f>
        <v>270294.59999999998</v>
      </c>
      <c r="G34">
        <f t="shared" ref="G34:G60" si="7">ROUND((C34/B34)^0.5,1)</f>
        <v>242.9</v>
      </c>
      <c r="H34">
        <f t="shared" ref="H34:H60" si="8">ROUND((D34/B34)^0.5,1)</f>
        <v>42.6</v>
      </c>
      <c r="I34">
        <f t="shared" ref="I34:I60" si="9">ROUND(0.00785*B34,3)</f>
        <v>117.68600000000001</v>
      </c>
      <c r="J34">
        <v>606</v>
      </c>
      <c r="K34">
        <v>201</v>
      </c>
      <c r="L34">
        <v>12</v>
      </c>
      <c r="M34">
        <v>20</v>
      </c>
      <c r="N34">
        <v>13</v>
      </c>
    </row>
    <row r="35" spans="1:14" x14ac:dyDescent="0.3">
      <c r="A35" t="s">
        <v>199</v>
      </c>
      <c r="B35">
        <v>15072.4</v>
      </c>
      <c r="C35">
        <v>885861840</v>
      </c>
      <c r="D35">
        <v>22949930</v>
      </c>
      <c r="E35">
        <f t="shared" si="5"/>
        <v>2834757.9</v>
      </c>
      <c r="F35">
        <f t="shared" si="6"/>
        <v>231233.6</v>
      </c>
      <c r="G35">
        <f t="shared" si="7"/>
        <v>242.4</v>
      </c>
      <c r="H35">
        <f t="shared" si="8"/>
        <v>39</v>
      </c>
      <c r="I35">
        <f t="shared" si="9"/>
        <v>118.318</v>
      </c>
      <c r="J35">
        <v>625</v>
      </c>
      <c r="K35">
        <v>198.5</v>
      </c>
      <c r="L35">
        <v>13.5</v>
      </c>
      <c r="M35">
        <v>17.5</v>
      </c>
      <c r="N35">
        <v>13</v>
      </c>
    </row>
    <row r="36" spans="1:14" x14ac:dyDescent="0.3">
      <c r="A36" t="s">
        <v>200</v>
      </c>
      <c r="B36">
        <v>17009.900000000001</v>
      </c>
      <c r="C36">
        <v>1014819000</v>
      </c>
      <c r="D36">
        <v>26851757</v>
      </c>
      <c r="E36">
        <f t="shared" si="5"/>
        <v>3221647.6</v>
      </c>
      <c r="F36">
        <f t="shared" si="6"/>
        <v>268517.59999999998</v>
      </c>
      <c r="G36">
        <f t="shared" si="7"/>
        <v>244.3</v>
      </c>
      <c r="H36">
        <f t="shared" si="8"/>
        <v>39.700000000000003</v>
      </c>
      <c r="I36">
        <f t="shared" si="9"/>
        <v>133.52799999999999</v>
      </c>
      <c r="J36">
        <v>630</v>
      </c>
      <c r="K36">
        <v>200</v>
      </c>
      <c r="L36">
        <v>15</v>
      </c>
      <c r="M36">
        <v>20</v>
      </c>
      <c r="N36">
        <v>13</v>
      </c>
    </row>
    <row r="37" spans="1:14" x14ac:dyDescent="0.3">
      <c r="A37" t="s">
        <v>201</v>
      </c>
      <c r="B37">
        <v>19885.900000000001</v>
      </c>
      <c r="C37">
        <v>1218885900</v>
      </c>
      <c r="D37">
        <v>33233890</v>
      </c>
      <c r="E37">
        <f t="shared" si="5"/>
        <v>3820958.9</v>
      </c>
      <c r="F37">
        <f t="shared" si="6"/>
        <v>329048.40000000002</v>
      </c>
      <c r="G37">
        <f t="shared" si="7"/>
        <v>247.6</v>
      </c>
      <c r="H37">
        <f t="shared" si="8"/>
        <v>40.9</v>
      </c>
      <c r="I37">
        <f t="shared" si="9"/>
        <v>156.10400000000001</v>
      </c>
      <c r="J37">
        <v>638</v>
      </c>
      <c r="K37">
        <v>202</v>
      </c>
      <c r="L37">
        <v>17</v>
      </c>
      <c r="M37">
        <v>24</v>
      </c>
      <c r="N37">
        <v>13</v>
      </c>
    </row>
    <row r="38" spans="1:14" x14ac:dyDescent="0.3">
      <c r="A38" t="s">
        <v>76</v>
      </c>
      <c r="B38">
        <v>18390.599999999999</v>
      </c>
      <c r="C38">
        <v>1316289900</v>
      </c>
      <c r="D38">
        <v>80317380</v>
      </c>
      <c r="E38">
        <f t="shared" si="5"/>
        <v>4075200.9</v>
      </c>
      <c r="F38">
        <f t="shared" si="6"/>
        <v>537240</v>
      </c>
      <c r="G38">
        <f t="shared" si="7"/>
        <v>267.5</v>
      </c>
      <c r="H38">
        <f t="shared" si="8"/>
        <v>66.099999999999994</v>
      </c>
      <c r="I38">
        <f t="shared" si="9"/>
        <v>144.36600000000001</v>
      </c>
      <c r="J38">
        <v>646</v>
      </c>
      <c r="K38">
        <v>299</v>
      </c>
      <c r="L38">
        <v>12</v>
      </c>
      <c r="M38">
        <v>18</v>
      </c>
      <c r="N38">
        <v>18</v>
      </c>
    </row>
    <row r="39" spans="1:14" x14ac:dyDescent="0.3">
      <c r="A39" t="s">
        <v>77</v>
      </c>
      <c r="B39">
        <v>20236.599999999999</v>
      </c>
      <c r="C39">
        <v>1464727000</v>
      </c>
      <c r="D39">
        <v>90151754</v>
      </c>
      <c r="E39">
        <f t="shared" si="5"/>
        <v>4506852.3</v>
      </c>
      <c r="F39">
        <f t="shared" si="6"/>
        <v>601011.69999999995</v>
      </c>
      <c r="G39">
        <f t="shared" si="7"/>
        <v>269</v>
      </c>
      <c r="H39">
        <f t="shared" si="8"/>
        <v>66.7</v>
      </c>
      <c r="I39">
        <f t="shared" si="9"/>
        <v>158.857</v>
      </c>
      <c r="J39">
        <v>650</v>
      </c>
      <c r="K39">
        <v>300</v>
      </c>
      <c r="L39">
        <v>13</v>
      </c>
      <c r="M39">
        <v>20</v>
      </c>
      <c r="N39">
        <v>18</v>
      </c>
    </row>
    <row r="40" spans="1:14" x14ac:dyDescent="0.3">
      <c r="A40" t="s">
        <v>202</v>
      </c>
      <c r="B40">
        <v>22090.6</v>
      </c>
      <c r="C40">
        <v>1615569100</v>
      </c>
      <c r="D40">
        <v>100176250</v>
      </c>
      <c r="E40">
        <f t="shared" si="5"/>
        <v>4940578.3</v>
      </c>
      <c r="F40">
        <f t="shared" si="6"/>
        <v>665622.9</v>
      </c>
      <c r="G40">
        <f t="shared" si="7"/>
        <v>270.39999999999998</v>
      </c>
      <c r="H40">
        <f t="shared" si="8"/>
        <v>67.3</v>
      </c>
      <c r="I40">
        <f t="shared" si="9"/>
        <v>173.411</v>
      </c>
      <c r="J40">
        <v>654</v>
      </c>
      <c r="K40">
        <v>301</v>
      </c>
      <c r="L40">
        <v>14</v>
      </c>
      <c r="M40">
        <v>22</v>
      </c>
      <c r="N40">
        <v>18</v>
      </c>
    </row>
    <row r="41" spans="1:14" x14ac:dyDescent="0.3">
      <c r="A41" t="s">
        <v>78</v>
      </c>
      <c r="B41">
        <v>20782.599999999999</v>
      </c>
      <c r="C41">
        <v>1687155800</v>
      </c>
      <c r="D41">
        <v>90159444</v>
      </c>
      <c r="E41">
        <f t="shared" si="5"/>
        <v>4876172.8</v>
      </c>
      <c r="F41">
        <f t="shared" si="6"/>
        <v>601063</v>
      </c>
      <c r="G41">
        <f t="shared" si="7"/>
        <v>284.89999999999998</v>
      </c>
      <c r="H41">
        <f t="shared" si="8"/>
        <v>65.900000000000006</v>
      </c>
      <c r="I41">
        <f t="shared" si="9"/>
        <v>163.143</v>
      </c>
      <c r="J41">
        <v>692</v>
      </c>
      <c r="K41">
        <v>300</v>
      </c>
      <c r="L41">
        <v>13</v>
      </c>
      <c r="M41">
        <v>20</v>
      </c>
      <c r="N41">
        <v>18</v>
      </c>
    </row>
    <row r="42" spans="1:14" x14ac:dyDescent="0.3">
      <c r="A42" t="s">
        <v>2</v>
      </c>
      <c r="B42">
        <v>23182.6</v>
      </c>
      <c r="C42">
        <v>1977808600</v>
      </c>
      <c r="D42">
        <v>108159440</v>
      </c>
      <c r="E42">
        <f t="shared" si="5"/>
        <v>5650881.7000000002</v>
      </c>
      <c r="F42">
        <f t="shared" si="6"/>
        <v>721062.9</v>
      </c>
      <c r="G42">
        <f t="shared" si="7"/>
        <v>292.10000000000002</v>
      </c>
      <c r="H42">
        <f t="shared" si="8"/>
        <v>68.3</v>
      </c>
      <c r="I42">
        <f t="shared" si="9"/>
        <v>181.983</v>
      </c>
      <c r="J42">
        <v>700</v>
      </c>
      <c r="K42">
        <v>300</v>
      </c>
      <c r="L42">
        <v>13</v>
      </c>
      <c r="M42">
        <v>24</v>
      </c>
      <c r="N42">
        <v>18</v>
      </c>
    </row>
    <row r="43" spans="1:14" x14ac:dyDescent="0.3">
      <c r="A43" t="s">
        <v>79</v>
      </c>
      <c r="B43">
        <v>18298.599999999999</v>
      </c>
      <c r="C43">
        <v>1616148300</v>
      </c>
      <c r="D43">
        <v>71420328</v>
      </c>
      <c r="E43">
        <f t="shared" si="5"/>
        <v>4403673.8</v>
      </c>
      <c r="F43">
        <f t="shared" si="6"/>
        <v>477727.9</v>
      </c>
      <c r="G43">
        <f t="shared" si="7"/>
        <v>297.2</v>
      </c>
      <c r="H43">
        <f t="shared" si="8"/>
        <v>62.5</v>
      </c>
      <c r="I43">
        <f t="shared" si="9"/>
        <v>143.64400000000001</v>
      </c>
      <c r="J43">
        <v>734</v>
      </c>
      <c r="K43">
        <v>299</v>
      </c>
      <c r="L43">
        <v>12</v>
      </c>
      <c r="M43">
        <v>16</v>
      </c>
      <c r="N43">
        <v>18</v>
      </c>
    </row>
    <row r="44" spans="1:14" x14ac:dyDescent="0.3">
      <c r="A44" t="s">
        <v>80</v>
      </c>
      <c r="B44">
        <v>21432.6</v>
      </c>
      <c r="C44">
        <v>1975891800</v>
      </c>
      <c r="D44">
        <v>90168598</v>
      </c>
      <c r="E44">
        <f t="shared" si="5"/>
        <v>5325853.9000000004</v>
      </c>
      <c r="F44">
        <f t="shared" si="6"/>
        <v>601124</v>
      </c>
      <c r="G44">
        <f t="shared" si="7"/>
        <v>303.60000000000002</v>
      </c>
      <c r="H44">
        <f t="shared" si="8"/>
        <v>64.900000000000006</v>
      </c>
      <c r="I44">
        <f t="shared" si="9"/>
        <v>168.24600000000001</v>
      </c>
      <c r="J44">
        <v>742</v>
      </c>
      <c r="K44">
        <v>300</v>
      </c>
      <c r="L44">
        <v>13</v>
      </c>
      <c r="M44">
        <v>20</v>
      </c>
      <c r="N44">
        <v>18</v>
      </c>
    </row>
    <row r="45" spans="1:14" x14ac:dyDescent="0.3">
      <c r="A45" t="s">
        <v>81</v>
      </c>
      <c r="B45">
        <v>23832.6</v>
      </c>
      <c r="C45">
        <v>2309804600</v>
      </c>
      <c r="D45">
        <v>108168600</v>
      </c>
      <c r="E45">
        <f t="shared" si="5"/>
        <v>6159478.9000000004</v>
      </c>
      <c r="F45">
        <f t="shared" si="6"/>
        <v>721124</v>
      </c>
      <c r="G45">
        <f t="shared" si="7"/>
        <v>311.3</v>
      </c>
      <c r="H45">
        <f t="shared" si="8"/>
        <v>67.400000000000006</v>
      </c>
      <c r="I45">
        <f t="shared" si="9"/>
        <v>187.08600000000001</v>
      </c>
      <c r="J45">
        <v>750</v>
      </c>
      <c r="K45">
        <v>300</v>
      </c>
      <c r="L45">
        <v>13</v>
      </c>
      <c r="M45">
        <v>24</v>
      </c>
      <c r="N45">
        <v>18</v>
      </c>
    </row>
    <row r="46" spans="1:14" x14ac:dyDescent="0.3">
      <c r="A46" t="s">
        <v>82</v>
      </c>
      <c r="B46">
        <v>28506.6</v>
      </c>
      <c r="C46">
        <v>2759797300</v>
      </c>
      <c r="D46">
        <v>130108230</v>
      </c>
      <c r="E46">
        <f t="shared" si="5"/>
        <v>7281787.0999999996</v>
      </c>
      <c r="F46">
        <f t="shared" si="6"/>
        <v>858800.2</v>
      </c>
      <c r="G46">
        <f t="shared" si="7"/>
        <v>311.10000000000002</v>
      </c>
      <c r="H46">
        <f t="shared" si="8"/>
        <v>67.599999999999994</v>
      </c>
      <c r="I46">
        <f t="shared" si="9"/>
        <v>223.77699999999999</v>
      </c>
      <c r="J46">
        <v>758</v>
      </c>
      <c r="K46">
        <v>303</v>
      </c>
      <c r="L46">
        <v>16</v>
      </c>
      <c r="M46">
        <v>28</v>
      </c>
      <c r="N46">
        <v>18</v>
      </c>
    </row>
    <row r="47" spans="1:14" x14ac:dyDescent="0.3">
      <c r="A47" t="s">
        <v>83</v>
      </c>
      <c r="B47">
        <v>23978.6</v>
      </c>
      <c r="C47">
        <v>2487277600</v>
      </c>
      <c r="D47">
        <v>99214500</v>
      </c>
      <c r="E47">
        <f t="shared" si="5"/>
        <v>6281004</v>
      </c>
      <c r="F47">
        <f t="shared" si="6"/>
        <v>661430</v>
      </c>
      <c r="G47">
        <f t="shared" si="7"/>
        <v>322.10000000000002</v>
      </c>
      <c r="H47">
        <f t="shared" si="8"/>
        <v>64.3</v>
      </c>
      <c r="I47">
        <f t="shared" si="9"/>
        <v>188.232</v>
      </c>
      <c r="J47">
        <v>792</v>
      </c>
      <c r="K47">
        <v>300</v>
      </c>
      <c r="L47">
        <v>14</v>
      </c>
      <c r="M47">
        <v>22</v>
      </c>
      <c r="N47">
        <v>18</v>
      </c>
    </row>
    <row r="48" spans="1:14" x14ac:dyDescent="0.3">
      <c r="A48" t="s">
        <v>84</v>
      </c>
      <c r="B48">
        <v>26378.6</v>
      </c>
      <c r="C48">
        <v>2867450400</v>
      </c>
      <c r="D48">
        <v>117214500</v>
      </c>
      <c r="E48">
        <f t="shared" si="5"/>
        <v>7168626</v>
      </c>
      <c r="F48">
        <f t="shared" si="6"/>
        <v>781430</v>
      </c>
      <c r="G48">
        <f t="shared" si="7"/>
        <v>329.7</v>
      </c>
      <c r="H48">
        <f t="shared" si="8"/>
        <v>66.7</v>
      </c>
      <c r="I48">
        <f t="shared" si="9"/>
        <v>207.072</v>
      </c>
      <c r="J48">
        <v>800</v>
      </c>
      <c r="K48">
        <v>300</v>
      </c>
      <c r="L48">
        <v>14</v>
      </c>
      <c r="M48">
        <v>26</v>
      </c>
      <c r="N48">
        <v>18</v>
      </c>
    </row>
    <row r="49" spans="1:14" x14ac:dyDescent="0.3">
      <c r="A49" t="s">
        <v>85</v>
      </c>
      <c r="B49">
        <v>22774.6</v>
      </c>
      <c r="C49">
        <v>2516712200</v>
      </c>
      <c r="D49">
        <v>84026851</v>
      </c>
      <c r="E49">
        <f t="shared" si="5"/>
        <v>6035281.0999999996</v>
      </c>
      <c r="F49">
        <f t="shared" si="6"/>
        <v>563938.6</v>
      </c>
      <c r="G49">
        <f t="shared" si="7"/>
        <v>332.4</v>
      </c>
      <c r="H49">
        <f t="shared" si="8"/>
        <v>60.7</v>
      </c>
      <c r="I49">
        <f t="shared" si="9"/>
        <v>178.78100000000001</v>
      </c>
      <c r="J49">
        <v>834</v>
      </c>
      <c r="K49">
        <v>298</v>
      </c>
      <c r="L49">
        <v>14</v>
      </c>
      <c r="M49">
        <v>19</v>
      </c>
      <c r="N49">
        <v>18</v>
      </c>
    </row>
    <row r="50" spans="1:14" x14ac:dyDescent="0.3">
      <c r="A50" t="s">
        <v>86</v>
      </c>
      <c r="B50">
        <v>26000.6</v>
      </c>
      <c r="C50">
        <v>2984998500</v>
      </c>
      <c r="D50">
        <v>102739320</v>
      </c>
      <c r="E50">
        <f t="shared" si="5"/>
        <v>7090257.7000000002</v>
      </c>
      <c r="F50">
        <f t="shared" si="6"/>
        <v>687219.5</v>
      </c>
      <c r="G50">
        <f t="shared" si="7"/>
        <v>338.8</v>
      </c>
      <c r="H50">
        <f t="shared" si="8"/>
        <v>62.9</v>
      </c>
      <c r="I50">
        <f t="shared" si="9"/>
        <v>204.10499999999999</v>
      </c>
      <c r="J50">
        <v>842</v>
      </c>
      <c r="K50">
        <v>299</v>
      </c>
      <c r="L50">
        <v>15</v>
      </c>
      <c r="M50">
        <v>23</v>
      </c>
      <c r="N50">
        <v>18</v>
      </c>
    </row>
    <row r="51" spans="1:14" x14ac:dyDescent="0.3">
      <c r="A51" t="s">
        <v>87</v>
      </c>
      <c r="B51">
        <v>29242.6</v>
      </c>
      <c r="C51">
        <v>3464176900</v>
      </c>
      <c r="D51">
        <v>121822390</v>
      </c>
      <c r="E51">
        <f t="shared" si="5"/>
        <v>8151004.5</v>
      </c>
      <c r="F51">
        <f t="shared" si="6"/>
        <v>812149.3</v>
      </c>
      <c r="G51">
        <f t="shared" si="7"/>
        <v>344.2</v>
      </c>
      <c r="H51">
        <f t="shared" si="8"/>
        <v>64.5</v>
      </c>
      <c r="I51">
        <f t="shared" si="9"/>
        <v>229.554</v>
      </c>
      <c r="J51">
        <v>850</v>
      </c>
      <c r="K51">
        <v>300</v>
      </c>
      <c r="L51">
        <v>16</v>
      </c>
      <c r="M51">
        <v>27</v>
      </c>
      <c r="N51">
        <v>18</v>
      </c>
    </row>
    <row r="52" spans="1:14" x14ac:dyDescent="0.3">
      <c r="A52" t="s">
        <v>88</v>
      </c>
      <c r="B52">
        <v>32500.6</v>
      </c>
      <c r="C52">
        <v>3954405500</v>
      </c>
      <c r="D52">
        <v>141280080</v>
      </c>
      <c r="E52">
        <f t="shared" si="5"/>
        <v>9217728.4000000004</v>
      </c>
      <c r="F52">
        <f t="shared" si="6"/>
        <v>938738.1</v>
      </c>
      <c r="G52">
        <f t="shared" si="7"/>
        <v>348.8</v>
      </c>
      <c r="H52">
        <f t="shared" si="8"/>
        <v>65.900000000000006</v>
      </c>
      <c r="I52">
        <f t="shared" si="9"/>
        <v>255.13</v>
      </c>
      <c r="J52">
        <v>858</v>
      </c>
      <c r="K52">
        <v>301</v>
      </c>
      <c r="L52">
        <v>17</v>
      </c>
      <c r="M52">
        <v>31</v>
      </c>
      <c r="N52">
        <v>18</v>
      </c>
    </row>
    <row r="53" spans="1:14" x14ac:dyDescent="0.3">
      <c r="A53" t="s">
        <v>89</v>
      </c>
      <c r="B53">
        <v>26720.6</v>
      </c>
      <c r="C53">
        <v>3390307000</v>
      </c>
      <c r="D53">
        <v>102752820</v>
      </c>
      <c r="E53">
        <f t="shared" si="5"/>
        <v>7618667.4000000004</v>
      </c>
      <c r="F53">
        <f t="shared" si="6"/>
        <v>687309.8</v>
      </c>
      <c r="G53">
        <f t="shared" si="7"/>
        <v>356.2</v>
      </c>
      <c r="H53">
        <f t="shared" si="8"/>
        <v>62</v>
      </c>
      <c r="I53">
        <f t="shared" si="9"/>
        <v>209.75700000000001</v>
      </c>
      <c r="J53">
        <v>890</v>
      </c>
      <c r="K53">
        <v>299</v>
      </c>
      <c r="L53">
        <v>15</v>
      </c>
      <c r="M53">
        <v>23</v>
      </c>
      <c r="N53">
        <v>18</v>
      </c>
    </row>
    <row r="54" spans="1:14" x14ac:dyDescent="0.3">
      <c r="A54" t="s">
        <v>3</v>
      </c>
      <c r="B54">
        <v>30610.6</v>
      </c>
      <c r="C54">
        <v>4049829500</v>
      </c>
      <c r="D54">
        <v>126338770</v>
      </c>
      <c r="E54">
        <f t="shared" si="5"/>
        <v>8999621.0999999996</v>
      </c>
      <c r="F54">
        <f t="shared" si="6"/>
        <v>842258.5</v>
      </c>
      <c r="G54">
        <f t="shared" si="7"/>
        <v>363.7</v>
      </c>
      <c r="H54">
        <f t="shared" si="8"/>
        <v>64.2</v>
      </c>
      <c r="I54">
        <f t="shared" si="9"/>
        <v>240.29300000000001</v>
      </c>
      <c r="J54">
        <v>900</v>
      </c>
      <c r="K54">
        <v>300</v>
      </c>
      <c r="L54">
        <v>16</v>
      </c>
      <c r="M54">
        <v>28</v>
      </c>
      <c r="N54">
        <v>18</v>
      </c>
    </row>
    <row r="55" spans="1:14" x14ac:dyDescent="0.3">
      <c r="A55" t="s">
        <v>90</v>
      </c>
      <c r="B55">
        <v>36034.6</v>
      </c>
      <c r="C55">
        <v>4915017800</v>
      </c>
      <c r="D55">
        <v>156549160</v>
      </c>
      <c r="E55">
        <f t="shared" si="5"/>
        <v>10778547.800000001</v>
      </c>
      <c r="F55">
        <f t="shared" si="6"/>
        <v>1036749.4</v>
      </c>
      <c r="G55">
        <f t="shared" si="7"/>
        <v>369.3</v>
      </c>
      <c r="H55">
        <f t="shared" si="8"/>
        <v>65.900000000000006</v>
      </c>
      <c r="I55">
        <f t="shared" si="9"/>
        <v>282.87200000000001</v>
      </c>
      <c r="J55">
        <v>912</v>
      </c>
      <c r="K55">
        <v>302</v>
      </c>
      <c r="L55">
        <v>18</v>
      </c>
      <c r="M55">
        <v>34</v>
      </c>
      <c r="N55">
        <v>18</v>
      </c>
    </row>
    <row r="56" spans="1:14" x14ac:dyDescent="0.3">
      <c r="A56" t="s">
        <v>91</v>
      </c>
      <c r="B56">
        <v>27628.6</v>
      </c>
      <c r="C56">
        <v>3939357200</v>
      </c>
      <c r="D56">
        <v>92060699</v>
      </c>
      <c r="E56">
        <f t="shared" si="5"/>
        <v>8122386</v>
      </c>
      <c r="F56">
        <f t="shared" si="6"/>
        <v>619937.4</v>
      </c>
      <c r="G56">
        <f t="shared" si="7"/>
        <v>377.6</v>
      </c>
      <c r="H56">
        <f t="shared" si="8"/>
        <v>57.7</v>
      </c>
      <c r="I56">
        <f t="shared" si="9"/>
        <v>216.88499999999999</v>
      </c>
      <c r="J56">
        <v>970</v>
      </c>
      <c r="K56">
        <v>297</v>
      </c>
      <c r="L56">
        <v>16</v>
      </c>
      <c r="M56">
        <v>21</v>
      </c>
      <c r="N56">
        <v>18</v>
      </c>
    </row>
    <row r="57" spans="1:14" x14ac:dyDescent="0.3">
      <c r="A57" t="s">
        <v>92</v>
      </c>
      <c r="B57">
        <v>31578.6</v>
      </c>
      <c r="C57">
        <v>4723635100</v>
      </c>
      <c r="D57">
        <v>115110030</v>
      </c>
      <c r="E57">
        <f t="shared" si="5"/>
        <v>9640071.5999999996</v>
      </c>
      <c r="F57">
        <f t="shared" si="6"/>
        <v>772550.5</v>
      </c>
      <c r="G57">
        <f t="shared" si="7"/>
        <v>386.8</v>
      </c>
      <c r="H57">
        <f t="shared" si="8"/>
        <v>60.4</v>
      </c>
      <c r="I57">
        <f t="shared" si="9"/>
        <v>247.892</v>
      </c>
      <c r="J57">
        <v>980</v>
      </c>
      <c r="K57">
        <v>298</v>
      </c>
      <c r="L57">
        <v>17</v>
      </c>
      <c r="M57">
        <v>26</v>
      </c>
      <c r="N57">
        <v>18</v>
      </c>
    </row>
    <row r="58" spans="1:14" x14ac:dyDescent="0.3">
      <c r="A58" t="s">
        <v>93</v>
      </c>
      <c r="B58">
        <v>34558.6</v>
      </c>
      <c r="C58">
        <v>5446459000</v>
      </c>
      <c r="D58">
        <v>137163030</v>
      </c>
      <c r="E58">
        <f t="shared" si="5"/>
        <v>11002947.5</v>
      </c>
      <c r="F58">
        <f t="shared" si="6"/>
        <v>920557.2</v>
      </c>
      <c r="G58">
        <f t="shared" si="7"/>
        <v>397</v>
      </c>
      <c r="H58">
        <f t="shared" si="8"/>
        <v>63</v>
      </c>
      <c r="I58">
        <f t="shared" si="9"/>
        <v>271.28500000000003</v>
      </c>
      <c r="J58">
        <v>990</v>
      </c>
      <c r="K58">
        <v>298</v>
      </c>
      <c r="L58">
        <v>17</v>
      </c>
      <c r="M58">
        <v>31</v>
      </c>
      <c r="N58">
        <v>18</v>
      </c>
    </row>
    <row r="59" spans="1:14" x14ac:dyDescent="0.3">
      <c r="A59" t="s">
        <v>94</v>
      </c>
      <c r="B59">
        <v>39538.6</v>
      </c>
      <c r="C59">
        <v>6350700500</v>
      </c>
      <c r="D59">
        <v>162593110</v>
      </c>
      <c r="E59">
        <f t="shared" si="5"/>
        <v>12701401</v>
      </c>
      <c r="F59">
        <f t="shared" si="6"/>
        <v>1083954.1000000001</v>
      </c>
      <c r="G59">
        <f t="shared" si="7"/>
        <v>400.8</v>
      </c>
      <c r="H59">
        <f t="shared" si="8"/>
        <v>64.099999999999994</v>
      </c>
      <c r="I59">
        <f t="shared" si="9"/>
        <v>310.37799999999999</v>
      </c>
      <c r="J59">
        <v>1000</v>
      </c>
      <c r="K59">
        <v>300</v>
      </c>
      <c r="L59">
        <v>19</v>
      </c>
      <c r="M59">
        <v>36</v>
      </c>
      <c r="N59">
        <v>18</v>
      </c>
    </row>
    <row r="60" spans="1:14" x14ac:dyDescent="0.3">
      <c r="A60" t="s">
        <v>95</v>
      </c>
      <c r="B60">
        <v>43954.6</v>
      </c>
      <c r="C60">
        <v>7126212000</v>
      </c>
      <c r="D60">
        <v>184411680</v>
      </c>
      <c r="E60">
        <f t="shared" si="5"/>
        <v>14139309.5</v>
      </c>
      <c r="F60">
        <f t="shared" si="6"/>
        <v>1221269.3999999999</v>
      </c>
      <c r="G60">
        <f t="shared" si="7"/>
        <v>402.6</v>
      </c>
      <c r="H60">
        <f t="shared" si="8"/>
        <v>64.8</v>
      </c>
      <c r="I60">
        <f t="shared" si="9"/>
        <v>345.04399999999998</v>
      </c>
      <c r="J60">
        <v>1008</v>
      </c>
      <c r="K60">
        <v>302</v>
      </c>
      <c r="L60">
        <v>21</v>
      </c>
      <c r="M60">
        <v>40</v>
      </c>
      <c r="N60">
        <v>18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2D490-CF11-4CF2-A5B6-530472157BFE}">
  <dimension ref="A1:O60"/>
  <sheetViews>
    <sheetView zoomScaleNormal="100" workbookViewId="0">
      <selection activeCell="O1" sqref="O1"/>
    </sheetView>
  </sheetViews>
  <sheetFormatPr defaultRowHeight="14" x14ac:dyDescent="0.3"/>
  <cols>
    <col min="1" max="1" width="12.75" customWidth="1"/>
    <col min="3" max="4" width="12.75" customWidth="1"/>
  </cols>
  <sheetData>
    <row r="1" spans="1:15" x14ac:dyDescent="0.3">
      <c r="A1" s="2" t="s">
        <v>96</v>
      </c>
      <c r="B1" s="3" t="s">
        <v>97</v>
      </c>
      <c r="C1" s="3" t="s">
        <v>114</v>
      </c>
      <c r="D1" s="3" t="s">
        <v>116</v>
      </c>
      <c r="E1" s="3" t="s">
        <v>118</v>
      </c>
      <c r="F1" s="3" t="s">
        <v>124</v>
      </c>
      <c r="G1" s="3" t="s">
        <v>120</v>
      </c>
      <c r="H1" s="3" t="s">
        <v>122</v>
      </c>
      <c r="I1" s="3" t="s">
        <v>126</v>
      </c>
      <c r="J1" s="3" t="s">
        <v>103</v>
      </c>
      <c r="K1" s="3" t="s">
        <v>104</v>
      </c>
      <c r="L1" s="3" t="s">
        <v>105</v>
      </c>
      <c r="M1" s="3" t="s">
        <v>111</v>
      </c>
      <c r="N1" s="3" t="s">
        <v>108</v>
      </c>
      <c r="O1" s="3" t="s">
        <v>112</v>
      </c>
    </row>
    <row r="2" spans="1:15" x14ac:dyDescent="0.3">
      <c r="A2" t="str">
        <f>"2"&amp;HN!A2</f>
        <v>2HN100X50</v>
      </c>
      <c r="B2">
        <f>2*HN!B2</f>
        <v>2381.1999999999998</v>
      </c>
      <c r="C2">
        <f>2*HN!C2</f>
        <v>3767818.6</v>
      </c>
      <c r="D2">
        <f>ROUND(HN!D2*2+HN!B2*HN!K2^2/2,1)</f>
        <v>1784402.2</v>
      </c>
      <c r="E2">
        <f>ROUND(C2/J2*2,1)</f>
        <v>75356.399999999994</v>
      </c>
      <c r="F2">
        <f>ROUND(D2/K2*2,1)</f>
        <v>35688</v>
      </c>
      <c r="G2">
        <f>ROUND((C2/B2)^0.5,1)</f>
        <v>39.799999999999997</v>
      </c>
      <c r="H2">
        <f>ROUND((D2/B2)^0.5,1)</f>
        <v>27.4</v>
      </c>
      <c r="I2">
        <f>ROUND(0.00785*B2,3)</f>
        <v>18.692</v>
      </c>
      <c r="J2">
        <f>HN!J2</f>
        <v>100</v>
      </c>
      <c r="K2">
        <f>HN!K2*2</f>
        <v>100</v>
      </c>
      <c r="L2">
        <f>HN!L2</f>
        <v>5</v>
      </c>
      <c r="M2">
        <f>HN!M2</f>
        <v>7</v>
      </c>
      <c r="N2">
        <f>HN!K2</f>
        <v>50</v>
      </c>
      <c r="O2">
        <f>M2</f>
        <v>7</v>
      </c>
    </row>
    <row r="3" spans="1:15" x14ac:dyDescent="0.3">
      <c r="A3" t="str">
        <f>"2"&amp;HN!A3</f>
        <v>2HN125X60</v>
      </c>
      <c r="B3">
        <f>2*HN!B3</f>
        <v>3349.2</v>
      </c>
      <c r="C3">
        <f>2*HN!C3</f>
        <v>8211404.4000000004</v>
      </c>
      <c r="D3">
        <f>ROUND(HN!D3*2+HN!B3*HN!K3^2/2,1)</f>
        <v>3597461.8</v>
      </c>
      <c r="E3">
        <f t="shared" ref="E3:E60" si="0">ROUND(C3/J3*2,1)</f>
        <v>131382.5</v>
      </c>
      <c r="F3">
        <f t="shared" ref="F3:F60" si="1">ROUND(D3/K3*2,1)</f>
        <v>59957.7</v>
      </c>
      <c r="G3">
        <f t="shared" ref="G3:G60" si="2">ROUND((C3/B3)^0.5,1)</f>
        <v>49.5</v>
      </c>
      <c r="H3">
        <f t="shared" ref="H3:H60" si="3">ROUND((D3/B3)^0.5,1)</f>
        <v>32.799999999999997</v>
      </c>
      <c r="I3">
        <f t="shared" ref="I3:I60" si="4">ROUND(0.00785*B3,3)</f>
        <v>26.291</v>
      </c>
      <c r="J3">
        <f>HN!J3</f>
        <v>125</v>
      </c>
      <c r="K3">
        <f>HN!K3*2</f>
        <v>120</v>
      </c>
      <c r="L3">
        <f>HN!L3</f>
        <v>6</v>
      </c>
      <c r="M3">
        <f>HN!M3</f>
        <v>8</v>
      </c>
      <c r="N3">
        <f>HN!K3</f>
        <v>60</v>
      </c>
      <c r="O3">
        <f t="shared" ref="O3:O60" si="5">M3</f>
        <v>8</v>
      </c>
    </row>
    <row r="4" spans="1:15" x14ac:dyDescent="0.3">
      <c r="A4" t="str">
        <f>"2"&amp;HN!A4</f>
        <v>2HN150X75</v>
      </c>
      <c r="B4">
        <f>2*HN!B4</f>
        <v>3581.2</v>
      </c>
      <c r="C4">
        <f>2*HN!C4</f>
        <v>13370018</v>
      </c>
      <c r="D4">
        <f>ROUND(HN!D4*2+HN!B4*HN!K4^2/2,1)</f>
        <v>6025964.7000000002</v>
      </c>
      <c r="E4">
        <f t="shared" si="0"/>
        <v>178266.9</v>
      </c>
      <c r="F4">
        <f t="shared" si="1"/>
        <v>80346.2</v>
      </c>
      <c r="G4">
        <f t="shared" si="2"/>
        <v>61.1</v>
      </c>
      <c r="H4">
        <f t="shared" si="3"/>
        <v>41</v>
      </c>
      <c r="I4">
        <f t="shared" si="4"/>
        <v>28.111999999999998</v>
      </c>
      <c r="J4">
        <f>HN!J4</f>
        <v>150</v>
      </c>
      <c r="K4">
        <f>HN!K4*2</f>
        <v>150</v>
      </c>
      <c r="L4">
        <f>HN!L4</f>
        <v>5</v>
      </c>
      <c r="M4">
        <f>HN!M4</f>
        <v>7</v>
      </c>
      <c r="N4">
        <f>HN!K4</f>
        <v>75</v>
      </c>
      <c r="O4">
        <f t="shared" si="5"/>
        <v>7</v>
      </c>
    </row>
    <row r="5" spans="1:15" x14ac:dyDescent="0.3">
      <c r="A5" t="str">
        <f>"2"&amp;HN!A5</f>
        <v>2HN175X90</v>
      </c>
      <c r="B5">
        <f>2*HN!B5</f>
        <v>4591.2</v>
      </c>
      <c r="C5">
        <f>2*HN!C5</f>
        <v>24174838</v>
      </c>
      <c r="D5">
        <f>ROUND(HN!D5*2+HN!B5*HN!K5^2/2,1)</f>
        <v>11247186.4</v>
      </c>
      <c r="E5">
        <f t="shared" si="0"/>
        <v>276283.90000000002</v>
      </c>
      <c r="F5">
        <f t="shared" si="1"/>
        <v>124968.7</v>
      </c>
      <c r="G5">
        <f t="shared" si="2"/>
        <v>72.599999999999994</v>
      </c>
      <c r="H5">
        <f t="shared" si="3"/>
        <v>49.5</v>
      </c>
      <c r="I5">
        <f t="shared" si="4"/>
        <v>36.040999999999997</v>
      </c>
      <c r="J5">
        <f>HN!J5</f>
        <v>175</v>
      </c>
      <c r="K5">
        <f>HN!K5*2</f>
        <v>180</v>
      </c>
      <c r="L5">
        <f>HN!L5</f>
        <v>5</v>
      </c>
      <c r="M5">
        <f>HN!M5</f>
        <v>8</v>
      </c>
      <c r="N5">
        <f>HN!K5</f>
        <v>90</v>
      </c>
      <c r="O5">
        <f t="shared" si="5"/>
        <v>8</v>
      </c>
    </row>
    <row r="6" spans="1:15" x14ac:dyDescent="0.3">
      <c r="A6" t="str">
        <f>"2"&amp;HN!A6</f>
        <v>2HN198X99</v>
      </c>
      <c r="B6">
        <f>2*HN!B6</f>
        <v>4549.2</v>
      </c>
      <c r="C6">
        <f>2*HN!C6</f>
        <v>30948350</v>
      </c>
      <c r="D6">
        <f>ROUND(HN!D6*2+HN!B6*HN!K6^2/2,1)</f>
        <v>13415937.5</v>
      </c>
      <c r="E6">
        <f t="shared" si="0"/>
        <v>312609.59999999998</v>
      </c>
      <c r="F6">
        <f t="shared" si="1"/>
        <v>135514.5</v>
      </c>
      <c r="G6">
        <f t="shared" si="2"/>
        <v>82.5</v>
      </c>
      <c r="H6">
        <f t="shared" si="3"/>
        <v>54.3</v>
      </c>
      <c r="I6">
        <f t="shared" si="4"/>
        <v>35.710999999999999</v>
      </c>
      <c r="J6">
        <f>HN!J6</f>
        <v>198</v>
      </c>
      <c r="K6">
        <f>HN!K6*2</f>
        <v>198</v>
      </c>
      <c r="L6">
        <f>HN!L6</f>
        <v>4.5</v>
      </c>
      <c r="M6">
        <f>HN!M6</f>
        <v>7</v>
      </c>
      <c r="N6">
        <f>HN!K6</f>
        <v>99</v>
      </c>
      <c r="O6">
        <f t="shared" si="5"/>
        <v>7</v>
      </c>
    </row>
    <row r="7" spans="1:15" x14ac:dyDescent="0.3">
      <c r="A7" t="str">
        <f>"2"&amp;HN!A7</f>
        <v>2HN200X100</v>
      </c>
      <c r="B7">
        <f>2*HN!B7</f>
        <v>5345.2</v>
      </c>
      <c r="C7">
        <f>2*HN!C7</f>
        <v>36202216</v>
      </c>
      <c r="D7">
        <f>ROUND(HN!D7*2+HN!B7*HN!K7^2/2,1)</f>
        <v>16037737</v>
      </c>
      <c r="E7">
        <f t="shared" si="0"/>
        <v>362022.2</v>
      </c>
      <c r="F7">
        <f t="shared" si="1"/>
        <v>160377.4</v>
      </c>
      <c r="G7">
        <f t="shared" si="2"/>
        <v>82.3</v>
      </c>
      <c r="H7">
        <f t="shared" si="3"/>
        <v>54.8</v>
      </c>
      <c r="I7">
        <f t="shared" si="4"/>
        <v>41.96</v>
      </c>
      <c r="J7">
        <f>HN!J7</f>
        <v>200</v>
      </c>
      <c r="K7">
        <f>HN!K7*2</f>
        <v>200</v>
      </c>
      <c r="L7">
        <f>HN!L7</f>
        <v>5.5</v>
      </c>
      <c r="M7">
        <f>HN!M7</f>
        <v>8</v>
      </c>
      <c r="N7">
        <f>HN!K7</f>
        <v>100</v>
      </c>
      <c r="O7">
        <f t="shared" si="5"/>
        <v>8</v>
      </c>
    </row>
    <row r="8" spans="1:15" x14ac:dyDescent="0.3">
      <c r="A8" t="str">
        <f>"2"&amp;HN!A8</f>
        <v>2HN248X124</v>
      </c>
      <c r="B8">
        <f>2*HN!B8</f>
        <v>6409.2</v>
      </c>
      <c r="C8">
        <f>2*HN!C8</f>
        <v>69143516</v>
      </c>
      <c r="D8">
        <f>ROUND(HN!D8*2+HN!B8*HN!K8^2/2,1)</f>
        <v>29728822.600000001</v>
      </c>
      <c r="E8">
        <f t="shared" si="0"/>
        <v>557609</v>
      </c>
      <c r="F8">
        <f t="shared" si="1"/>
        <v>239748.6</v>
      </c>
      <c r="G8">
        <f t="shared" si="2"/>
        <v>103.9</v>
      </c>
      <c r="H8">
        <f t="shared" si="3"/>
        <v>68.099999999999994</v>
      </c>
      <c r="I8">
        <f t="shared" si="4"/>
        <v>50.311999999999998</v>
      </c>
      <c r="J8">
        <f>HN!J8</f>
        <v>248</v>
      </c>
      <c r="K8">
        <f>HN!K8*2</f>
        <v>248</v>
      </c>
      <c r="L8">
        <f>HN!L8</f>
        <v>5</v>
      </c>
      <c r="M8">
        <f>HN!M8</f>
        <v>8</v>
      </c>
      <c r="N8">
        <f>HN!K8</f>
        <v>124</v>
      </c>
      <c r="O8">
        <f t="shared" si="5"/>
        <v>8</v>
      </c>
    </row>
    <row r="9" spans="1:15" x14ac:dyDescent="0.3">
      <c r="A9" t="str">
        <f>"2"&amp;HN!A9</f>
        <v>2HN250X125</v>
      </c>
      <c r="B9">
        <f>2*HN!B9</f>
        <v>7405.2</v>
      </c>
      <c r="C9">
        <f>2*HN!C9</f>
        <v>79435848</v>
      </c>
      <c r="D9">
        <f>ROUND(HN!D9*2+HN!B9*HN!K9^2/2,1)</f>
        <v>34797547.299999997</v>
      </c>
      <c r="E9">
        <f t="shared" si="0"/>
        <v>635486.80000000005</v>
      </c>
      <c r="F9">
        <f t="shared" si="1"/>
        <v>278380.40000000002</v>
      </c>
      <c r="G9">
        <f t="shared" si="2"/>
        <v>103.6</v>
      </c>
      <c r="H9">
        <f t="shared" si="3"/>
        <v>68.5</v>
      </c>
      <c r="I9">
        <f t="shared" si="4"/>
        <v>58.131</v>
      </c>
      <c r="J9">
        <f>HN!J9</f>
        <v>250</v>
      </c>
      <c r="K9">
        <f>HN!K9*2</f>
        <v>250</v>
      </c>
      <c r="L9">
        <f>HN!L9</f>
        <v>6</v>
      </c>
      <c r="M9">
        <f>HN!M9</f>
        <v>9</v>
      </c>
      <c r="N9">
        <f>HN!K9</f>
        <v>125</v>
      </c>
      <c r="O9">
        <f t="shared" si="5"/>
        <v>9</v>
      </c>
    </row>
    <row r="10" spans="1:15" x14ac:dyDescent="0.3">
      <c r="A10" t="str">
        <f>"2"&amp;HN!A10</f>
        <v>2HN298X149</v>
      </c>
      <c r="B10">
        <f>2*HN!B10</f>
        <v>8189.8</v>
      </c>
      <c r="C10">
        <f>2*HN!C10</f>
        <v>126914940</v>
      </c>
      <c r="D10">
        <f>ROUND(HN!D10*2+HN!B10*HN!K10^2/2,1)</f>
        <v>54297778.5</v>
      </c>
      <c r="E10">
        <f t="shared" si="0"/>
        <v>851778.1</v>
      </c>
      <c r="F10">
        <f t="shared" si="1"/>
        <v>364414.6</v>
      </c>
      <c r="G10">
        <f t="shared" si="2"/>
        <v>124.5</v>
      </c>
      <c r="H10">
        <f t="shared" si="3"/>
        <v>81.400000000000006</v>
      </c>
      <c r="I10">
        <f t="shared" si="4"/>
        <v>64.290000000000006</v>
      </c>
      <c r="J10">
        <f>HN!J10</f>
        <v>298</v>
      </c>
      <c r="K10">
        <f>HN!K10*2</f>
        <v>298</v>
      </c>
      <c r="L10">
        <f>HN!L10</f>
        <v>5.5</v>
      </c>
      <c r="M10">
        <f>HN!M10</f>
        <v>8</v>
      </c>
      <c r="N10">
        <f>HN!K10</f>
        <v>149</v>
      </c>
      <c r="O10">
        <f t="shared" si="5"/>
        <v>8</v>
      </c>
    </row>
    <row r="11" spans="1:15" x14ac:dyDescent="0.3">
      <c r="A11" t="str">
        <f>"2"&amp;HN!A11</f>
        <v>2HN300X150</v>
      </c>
      <c r="B11">
        <f>2*HN!B11</f>
        <v>9385.7999999999993</v>
      </c>
      <c r="C11">
        <f>2*HN!C11</f>
        <v>144735738</v>
      </c>
      <c r="D11">
        <f>ROUND(HN!D11*2+HN!B11*HN!K11^2/2,1)</f>
        <v>62948306.399999999</v>
      </c>
      <c r="E11">
        <f t="shared" si="0"/>
        <v>964904.9</v>
      </c>
      <c r="F11">
        <f t="shared" si="1"/>
        <v>419655.4</v>
      </c>
      <c r="G11">
        <f t="shared" si="2"/>
        <v>124.2</v>
      </c>
      <c r="H11">
        <f t="shared" si="3"/>
        <v>81.900000000000006</v>
      </c>
      <c r="I11">
        <f t="shared" si="4"/>
        <v>73.679000000000002</v>
      </c>
      <c r="J11">
        <f>HN!J11</f>
        <v>300</v>
      </c>
      <c r="K11">
        <f>HN!K11*2</f>
        <v>300</v>
      </c>
      <c r="L11">
        <f>HN!L11</f>
        <v>6.5</v>
      </c>
      <c r="M11">
        <f>HN!M11</f>
        <v>9</v>
      </c>
      <c r="N11">
        <f>HN!K11</f>
        <v>150</v>
      </c>
      <c r="O11">
        <f t="shared" si="5"/>
        <v>9</v>
      </c>
    </row>
    <row r="12" spans="1:15" x14ac:dyDescent="0.3">
      <c r="A12" t="str">
        <f>"2"&amp;HN!A12</f>
        <v>2HN346X174</v>
      </c>
      <c r="B12">
        <f>2*HN!B12</f>
        <v>10519.8</v>
      </c>
      <c r="C12">
        <f>2*HN!C12</f>
        <v>221462520</v>
      </c>
      <c r="D12">
        <f>ROUND(HN!D12*2+HN!B12*HN!K12^2/2,1)</f>
        <v>95454525.400000006</v>
      </c>
      <c r="E12">
        <f t="shared" si="0"/>
        <v>1280130.2</v>
      </c>
      <c r="F12">
        <f t="shared" si="1"/>
        <v>548589.19999999995</v>
      </c>
      <c r="G12">
        <f t="shared" si="2"/>
        <v>145.1</v>
      </c>
      <c r="H12">
        <f t="shared" si="3"/>
        <v>95.3</v>
      </c>
      <c r="I12">
        <f t="shared" si="4"/>
        <v>82.58</v>
      </c>
      <c r="J12">
        <f>HN!J12</f>
        <v>346</v>
      </c>
      <c r="K12">
        <f>HN!K12*2</f>
        <v>348</v>
      </c>
      <c r="L12">
        <f>HN!L12</f>
        <v>6</v>
      </c>
      <c r="M12">
        <f>HN!M12</f>
        <v>9</v>
      </c>
      <c r="N12">
        <f>HN!K12</f>
        <v>174</v>
      </c>
      <c r="O12">
        <f t="shared" si="5"/>
        <v>9</v>
      </c>
    </row>
    <row r="13" spans="1:15" x14ac:dyDescent="0.3">
      <c r="A13" t="str">
        <f>"2"&amp;HN!A13</f>
        <v>2HN350X175</v>
      </c>
      <c r="B13">
        <f>2*HN!B13</f>
        <v>12611.8</v>
      </c>
      <c r="C13">
        <f>2*HN!C13</f>
        <v>270753020</v>
      </c>
      <c r="D13">
        <f>ROUND(HN!D13*2+HN!B13*HN!K13^2/2,1)</f>
        <v>116245195.2</v>
      </c>
      <c r="E13">
        <f t="shared" si="0"/>
        <v>1547160.1</v>
      </c>
      <c r="F13">
        <f t="shared" si="1"/>
        <v>664258.30000000005</v>
      </c>
      <c r="G13">
        <f t="shared" si="2"/>
        <v>146.5</v>
      </c>
      <c r="H13">
        <f t="shared" si="3"/>
        <v>96</v>
      </c>
      <c r="I13">
        <f t="shared" si="4"/>
        <v>99.003</v>
      </c>
      <c r="J13">
        <f>HN!J13</f>
        <v>350</v>
      </c>
      <c r="K13">
        <f>HN!K13*2</f>
        <v>350</v>
      </c>
      <c r="L13">
        <f>HN!L13</f>
        <v>7</v>
      </c>
      <c r="M13">
        <f>HN!M13</f>
        <v>11</v>
      </c>
      <c r="N13">
        <f>HN!K13</f>
        <v>175</v>
      </c>
      <c r="O13">
        <f t="shared" si="5"/>
        <v>11</v>
      </c>
    </row>
    <row r="14" spans="1:15" x14ac:dyDescent="0.3">
      <c r="A14" t="str">
        <f>"2"&amp;HN!A14</f>
        <v>2HN400X150</v>
      </c>
      <c r="B14">
        <f>2*HN!B14</f>
        <v>14103.8</v>
      </c>
      <c r="C14">
        <f>2*HN!C14</f>
        <v>372731220</v>
      </c>
      <c r="D14">
        <f>ROUND(HN!D14*2+HN!B14*HN!K14^2/2,1)</f>
        <v>94009288.599999994</v>
      </c>
      <c r="E14">
        <f t="shared" si="0"/>
        <v>1863656.1</v>
      </c>
      <c r="F14">
        <f t="shared" si="1"/>
        <v>626728.6</v>
      </c>
      <c r="G14">
        <f t="shared" si="2"/>
        <v>162.6</v>
      </c>
      <c r="H14">
        <f t="shared" si="3"/>
        <v>81.599999999999994</v>
      </c>
      <c r="I14">
        <f t="shared" si="4"/>
        <v>110.715</v>
      </c>
      <c r="J14">
        <f>HN!J14</f>
        <v>400</v>
      </c>
      <c r="K14">
        <f>HN!K14*2</f>
        <v>300</v>
      </c>
      <c r="L14">
        <f>HN!L14</f>
        <v>8</v>
      </c>
      <c r="M14">
        <f>HN!M14</f>
        <v>13</v>
      </c>
      <c r="N14">
        <f>HN!K14</f>
        <v>150</v>
      </c>
      <c r="O14">
        <f t="shared" si="5"/>
        <v>13</v>
      </c>
    </row>
    <row r="15" spans="1:15" x14ac:dyDescent="0.3">
      <c r="A15" t="str">
        <f>"2"&amp;HN!A15</f>
        <v>2HN396X199</v>
      </c>
      <c r="B15">
        <f>2*HN!B15</f>
        <v>14311.8</v>
      </c>
      <c r="C15">
        <f>2*HN!C15</f>
        <v>396405700</v>
      </c>
      <c r="D15">
        <f>ROUND(HN!D15*2+HN!B15*HN!K15^2/2,1)</f>
        <v>170623618</v>
      </c>
      <c r="E15">
        <f t="shared" si="0"/>
        <v>2002049</v>
      </c>
      <c r="F15">
        <f t="shared" si="1"/>
        <v>857405.1</v>
      </c>
      <c r="G15">
        <f t="shared" si="2"/>
        <v>166.4</v>
      </c>
      <c r="H15">
        <f t="shared" si="3"/>
        <v>109.2</v>
      </c>
      <c r="I15">
        <f t="shared" si="4"/>
        <v>112.348</v>
      </c>
      <c r="J15">
        <f>HN!J15</f>
        <v>396</v>
      </c>
      <c r="K15">
        <f>HN!K15*2</f>
        <v>398</v>
      </c>
      <c r="L15">
        <f>HN!L15</f>
        <v>7</v>
      </c>
      <c r="M15">
        <f>HN!M15</f>
        <v>11</v>
      </c>
      <c r="N15">
        <f>HN!K15</f>
        <v>199</v>
      </c>
      <c r="O15">
        <f t="shared" si="5"/>
        <v>11</v>
      </c>
    </row>
    <row r="16" spans="1:15" x14ac:dyDescent="0.3">
      <c r="A16" t="str">
        <f>"2"&amp;HN!A16</f>
        <v>2HN400X200</v>
      </c>
      <c r="B16">
        <f>2*HN!B16</f>
        <v>16703.8</v>
      </c>
      <c r="C16">
        <f>2*HN!C16</f>
        <v>470117700</v>
      </c>
      <c r="D16">
        <f>ROUND(HN!D16*2+HN!B16*HN!K16^2/2,1)</f>
        <v>201755080</v>
      </c>
      <c r="E16">
        <f t="shared" si="0"/>
        <v>2350588.5</v>
      </c>
      <c r="F16">
        <f t="shared" si="1"/>
        <v>1008775.4</v>
      </c>
      <c r="G16">
        <f t="shared" si="2"/>
        <v>167.8</v>
      </c>
      <c r="H16">
        <f t="shared" si="3"/>
        <v>109.9</v>
      </c>
      <c r="I16">
        <f t="shared" si="4"/>
        <v>131.125</v>
      </c>
      <c r="J16">
        <f>HN!J16</f>
        <v>400</v>
      </c>
      <c r="K16">
        <f>HN!K16*2</f>
        <v>400</v>
      </c>
      <c r="L16">
        <f>HN!L16</f>
        <v>8</v>
      </c>
      <c r="M16">
        <f>HN!M16</f>
        <v>13</v>
      </c>
      <c r="N16">
        <f>HN!K16</f>
        <v>200</v>
      </c>
      <c r="O16">
        <f t="shared" si="5"/>
        <v>13</v>
      </c>
    </row>
    <row r="17" spans="1:15" x14ac:dyDescent="0.3">
      <c r="A17" t="str">
        <f>"2"&amp;HN!A17</f>
        <v>2HN446X150</v>
      </c>
      <c r="B17">
        <f>2*HN!B17</f>
        <v>13427.8</v>
      </c>
      <c r="C17">
        <f>2*HN!C17</f>
        <v>440632000</v>
      </c>
      <c r="D17">
        <f>ROUND(HN!D17*2+HN!B17*HN!K17^2/2,1)</f>
        <v>89071808.400000006</v>
      </c>
      <c r="E17">
        <f t="shared" si="0"/>
        <v>1975928.3</v>
      </c>
      <c r="F17">
        <f t="shared" si="1"/>
        <v>593812.1</v>
      </c>
      <c r="G17">
        <f t="shared" si="2"/>
        <v>181.1</v>
      </c>
      <c r="H17">
        <f t="shared" si="3"/>
        <v>81.400000000000006</v>
      </c>
      <c r="I17">
        <f t="shared" si="4"/>
        <v>105.408</v>
      </c>
      <c r="J17">
        <f>HN!J17</f>
        <v>446</v>
      </c>
      <c r="K17">
        <f>HN!K17*2</f>
        <v>300</v>
      </c>
      <c r="L17">
        <f>HN!L17</f>
        <v>7</v>
      </c>
      <c r="M17">
        <f>HN!M17</f>
        <v>12</v>
      </c>
      <c r="N17">
        <f>HN!K17</f>
        <v>150</v>
      </c>
      <c r="O17">
        <f t="shared" si="5"/>
        <v>12</v>
      </c>
    </row>
    <row r="18" spans="1:15" x14ac:dyDescent="0.3">
      <c r="A18" t="str">
        <f>"2"&amp;HN!A18</f>
        <v>2HN450X151</v>
      </c>
      <c r="B18">
        <f>2*HN!B18</f>
        <v>15527.8</v>
      </c>
      <c r="C18">
        <f>2*HN!C18</f>
        <v>516031100</v>
      </c>
      <c r="D18">
        <f>ROUND(HN!D18*2+HN!B18*HN!K18^2/2,1)</f>
        <v>104633956.2</v>
      </c>
      <c r="E18">
        <f t="shared" si="0"/>
        <v>2293471.6</v>
      </c>
      <c r="F18">
        <f t="shared" si="1"/>
        <v>692940.1</v>
      </c>
      <c r="G18">
        <f t="shared" si="2"/>
        <v>182.3</v>
      </c>
      <c r="H18">
        <f t="shared" si="3"/>
        <v>82.1</v>
      </c>
      <c r="I18">
        <f t="shared" si="4"/>
        <v>121.893</v>
      </c>
      <c r="J18">
        <f>HN!J18</f>
        <v>450</v>
      </c>
      <c r="K18">
        <f>HN!K18*2</f>
        <v>302</v>
      </c>
      <c r="L18">
        <f>HN!L18</f>
        <v>8</v>
      </c>
      <c r="M18">
        <f>HN!M18</f>
        <v>14</v>
      </c>
      <c r="N18">
        <f>HN!K18</f>
        <v>151</v>
      </c>
      <c r="O18">
        <f t="shared" si="5"/>
        <v>14</v>
      </c>
    </row>
    <row r="19" spans="1:15" x14ac:dyDescent="0.3">
      <c r="A19" t="str">
        <f>"2"&amp;HN!A19</f>
        <v>2HN446X199</v>
      </c>
      <c r="B19">
        <f>2*HN!B19</f>
        <v>16623.8</v>
      </c>
      <c r="C19">
        <f>2*HN!C19</f>
        <v>563938800</v>
      </c>
      <c r="D19">
        <f>ROUND(HN!D19*2+HN!B19*HN!K19^2/2,1)</f>
        <v>196156682</v>
      </c>
      <c r="E19">
        <f t="shared" si="0"/>
        <v>2528873.5</v>
      </c>
      <c r="F19">
        <f t="shared" si="1"/>
        <v>985712</v>
      </c>
      <c r="G19">
        <f t="shared" si="2"/>
        <v>184.2</v>
      </c>
      <c r="H19">
        <f t="shared" si="3"/>
        <v>108.6</v>
      </c>
      <c r="I19">
        <f t="shared" si="4"/>
        <v>130.49700000000001</v>
      </c>
      <c r="J19">
        <f>HN!J19</f>
        <v>446</v>
      </c>
      <c r="K19">
        <f>HN!K19*2</f>
        <v>398</v>
      </c>
      <c r="L19">
        <f>HN!L19</f>
        <v>8</v>
      </c>
      <c r="M19">
        <f>HN!M19</f>
        <v>12</v>
      </c>
      <c r="N19">
        <f>HN!K19</f>
        <v>199</v>
      </c>
      <c r="O19">
        <f t="shared" si="5"/>
        <v>12</v>
      </c>
    </row>
    <row r="20" spans="1:15" x14ac:dyDescent="0.3">
      <c r="A20" t="str">
        <f>"2"&amp;HN!A20</f>
        <v>2HN450X200</v>
      </c>
      <c r="B20">
        <f>2*HN!B20</f>
        <v>19115.8</v>
      </c>
      <c r="C20">
        <f>2*HN!C20</f>
        <v>659007020</v>
      </c>
      <c r="D20">
        <f>ROUND(HN!D20*2+HN!B20*HN!K20^2/2,1)</f>
        <v>228563456</v>
      </c>
      <c r="E20">
        <f t="shared" si="0"/>
        <v>2928920.1</v>
      </c>
      <c r="F20">
        <f t="shared" si="1"/>
        <v>1142817.3</v>
      </c>
      <c r="G20">
        <f t="shared" si="2"/>
        <v>185.7</v>
      </c>
      <c r="H20">
        <f t="shared" si="3"/>
        <v>109.3</v>
      </c>
      <c r="I20">
        <f t="shared" si="4"/>
        <v>150.059</v>
      </c>
      <c r="J20">
        <f>HN!J20</f>
        <v>450</v>
      </c>
      <c r="K20">
        <f>HN!K20*2</f>
        <v>400</v>
      </c>
      <c r="L20">
        <f>HN!L20</f>
        <v>9</v>
      </c>
      <c r="M20">
        <f>HN!M20</f>
        <v>14</v>
      </c>
      <c r="N20">
        <f>HN!K20</f>
        <v>200</v>
      </c>
      <c r="O20">
        <f t="shared" si="5"/>
        <v>14</v>
      </c>
    </row>
    <row r="21" spans="1:15" x14ac:dyDescent="0.3">
      <c r="A21" t="str">
        <f>"2"&amp;HN!A21</f>
        <v>2HN470X150</v>
      </c>
      <c r="B21">
        <f>2*HN!B21</f>
        <v>14335.8</v>
      </c>
      <c r="C21">
        <f>2*HN!C21</f>
        <v>524811680</v>
      </c>
      <c r="D21">
        <f>ROUND(HN!D21*2+HN!B21*HN!K21^2/2,1)</f>
        <v>95305566</v>
      </c>
      <c r="E21">
        <f t="shared" si="0"/>
        <v>2233241.2000000002</v>
      </c>
      <c r="F21">
        <f t="shared" si="1"/>
        <v>635370.4</v>
      </c>
      <c r="G21">
        <f t="shared" si="2"/>
        <v>191.3</v>
      </c>
      <c r="H21">
        <f t="shared" si="3"/>
        <v>81.5</v>
      </c>
      <c r="I21">
        <f t="shared" si="4"/>
        <v>112.536</v>
      </c>
      <c r="J21">
        <f>HN!J21</f>
        <v>470</v>
      </c>
      <c r="K21">
        <f>HN!K21*2</f>
        <v>300</v>
      </c>
      <c r="L21">
        <f>HN!L21</f>
        <v>7</v>
      </c>
      <c r="M21">
        <f>HN!M21</f>
        <v>13</v>
      </c>
      <c r="N21">
        <f>HN!K21</f>
        <v>150</v>
      </c>
      <c r="O21">
        <f t="shared" si="5"/>
        <v>13</v>
      </c>
    </row>
    <row r="22" spans="1:15" x14ac:dyDescent="0.3">
      <c r="A22" t="str">
        <f>"2"&amp;HN!A22</f>
        <v>2HN475X151.5</v>
      </c>
      <c r="B22">
        <f>2*HN!B22</f>
        <v>17260.8</v>
      </c>
      <c r="C22">
        <f>2*HN!C22</f>
        <v>635326520</v>
      </c>
      <c r="D22">
        <f>ROUND(HN!D22*2+HN!B22*HN!K22^2/2,1)</f>
        <v>117074522</v>
      </c>
      <c r="E22">
        <f t="shared" si="0"/>
        <v>2675059</v>
      </c>
      <c r="F22">
        <f t="shared" si="1"/>
        <v>772769.1</v>
      </c>
      <c r="G22">
        <f t="shared" si="2"/>
        <v>191.9</v>
      </c>
      <c r="H22">
        <f t="shared" si="3"/>
        <v>82.4</v>
      </c>
      <c r="I22">
        <f t="shared" si="4"/>
        <v>135.49700000000001</v>
      </c>
      <c r="J22">
        <f>HN!J22</f>
        <v>475</v>
      </c>
      <c r="K22">
        <f>HN!K22*2</f>
        <v>303</v>
      </c>
      <c r="L22">
        <f>HN!L22</f>
        <v>8.5</v>
      </c>
      <c r="M22">
        <f>HN!M22</f>
        <v>15.5</v>
      </c>
      <c r="N22">
        <f>HN!K22</f>
        <v>151.5</v>
      </c>
      <c r="O22">
        <f t="shared" si="5"/>
        <v>15.5</v>
      </c>
    </row>
    <row r="23" spans="1:15" x14ac:dyDescent="0.3">
      <c r="A23" t="str">
        <f>"2"&amp;HN!A23</f>
        <v>2HN482X153.5</v>
      </c>
      <c r="B23">
        <f>2*HN!B23</f>
        <v>21309.8</v>
      </c>
      <c r="C23">
        <f>2*HN!C23</f>
        <v>794062640</v>
      </c>
      <c r="D23">
        <f>ROUND(HN!D23*2+HN!B23*HN!K23^2/2,1)</f>
        <v>148543480.80000001</v>
      </c>
      <c r="E23">
        <f t="shared" si="0"/>
        <v>3294865.7</v>
      </c>
      <c r="F23">
        <f t="shared" si="1"/>
        <v>967710</v>
      </c>
      <c r="G23">
        <f t="shared" si="2"/>
        <v>193</v>
      </c>
      <c r="H23">
        <f t="shared" si="3"/>
        <v>83.5</v>
      </c>
      <c r="I23">
        <f t="shared" si="4"/>
        <v>167.28200000000001</v>
      </c>
      <c r="J23">
        <f>HN!J23</f>
        <v>482</v>
      </c>
      <c r="K23">
        <f>HN!K23*2</f>
        <v>307</v>
      </c>
      <c r="L23">
        <f>HN!L23</f>
        <v>10.5</v>
      </c>
      <c r="M23">
        <f>HN!M23</f>
        <v>19</v>
      </c>
      <c r="N23">
        <f>HN!K23</f>
        <v>153.5</v>
      </c>
      <c r="O23">
        <f t="shared" si="5"/>
        <v>19</v>
      </c>
    </row>
    <row r="24" spans="1:15" x14ac:dyDescent="0.3">
      <c r="A24" t="str">
        <f>"2"&amp;HN!A24</f>
        <v>2HN492X150</v>
      </c>
      <c r="B24">
        <f>2*HN!B24</f>
        <v>14071.8</v>
      </c>
      <c r="C24">
        <f>2*HN!C24</f>
        <v>551449860</v>
      </c>
      <c r="D24">
        <f>ROUND(HN!D24*2+HN!B24*HN!K24^2/2,1)</f>
        <v>92696938</v>
      </c>
      <c r="E24">
        <f t="shared" si="0"/>
        <v>2241666.1</v>
      </c>
      <c r="F24">
        <f t="shared" si="1"/>
        <v>617979.6</v>
      </c>
      <c r="G24">
        <f t="shared" si="2"/>
        <v>198</v>
      </c>
      <c r="H24">
        <f t="shared" si="3"/>
        <v>81.2</v>
      </c>
      <c r="I24">
        <f t="shared" si="4"/>
        <v>110.464</v>
      </c>
      <c r="J24">
        <f>HN!J24</f>
        <v>492</v>
      </c>
      <c r="K24">
        <f>HN!K24*2</f>
        <v>300</v>
      </c>
      <c r="L24">
        <f>HN!L24</f>
        <v>7</v>
      </c>
      <c r="M24">
        <f>HN!M24</f>
        <v>12</v>
      </c>
      <c r="N24">
        <f>HN!K24</f>
        <v>150</v>
      </c>
      <c r="O24">
        <f t="shared" si="5"/>
        <v>12</v>
      </c>
    </row>
    <row r="25" spans="1:15" x14ac:dyDescent="0.3">
      <c r="A25" t="str">
        <f>"2"&amp;HN!A25</f>
        <v>2HN500X152</v>
      </c>
      <c r="B25">
        <f>2*HN!B25</f>
        <v>18471.8</v>
      </c>
      <c r="C25">
        <f>2*HN!C25</f>
        <v>740729320</v>
      </c>
      <c r="D25">
        <f>ROUND(HN!D25*2+HN!B25*HN!K25^2/2,1)</f>
        <v>125500470.2</v>
      </c>
      <c r="E25">
        <f t="shared" si="0"/>
        <v>2962917.3</v>
      </c>
      <c r="F25">
        <f t="shared" si="1"/>
        <v>825661</v>
      </c>
      <c r="G25">
        <f t="shared" si="2"/>
        <v>200.3</v>
      </c>
      <c r="H25">
        <f t="shared" si="3"/>
        <v>82.4</v>
      </c>
      <c r="I25">
        <f t="shared" si="4"/>
        <v>145.00399999999999</v>
      </c>
      <c r="J25">
        <f>HN!J25</f>
        <v>500</v>
      </c>
      <c r="K25">
        <f>HN!K25*2</f>
        <v>304</v>
      </c>
      <c r="L25">
        <f>HN!L25</f>
        <v>9</v>
      </c>
      <c r="M25">
        <f>HN!M25</f>
        <v>16</v>
      </c>
      <c r="N25">
        <f>HN!K25</f>
        <v>152</v>
      </c>
      <c r="O25">
        <f t="shared" si="5"/>
        <v>16</v>
      </c>
    </row>
    <row r="26" spans="1:15" x14ac:dyDescent="0.3">
      <c r="A26" t="str">
        <f>"2"&amp;HN!A26</f>
        <v>2HN504X153</v>
      </c>
      <c r="B26">
        <f>2*HN!B26</f>
        <v>20695.8</v>
      </c>
      <c r="C26">
        <f>2*HN!C26</f>
        <v>838676300</v>
      </c>
      <c r="D26">
        <f>ROUND(HN!D26*2+HN!B26*HN!K26^2/2,1)</f>
        <v>142707815.59999999</v>
      </c>
      <c r="E26">
        <f t="shared" si="0"/>
        <v>3328080.6</v>
      </c>
      <c r="F26">
        <f t="shared" si="1"/>
        <v>932730.8</v>
      </c>
      <c r="G26">
        <f t="shared" si="2"/>
        <v>201.3</v>
      </c>
      <c r="H26">
        <f t="shared" si="3"/>
        <v>83</v>
      </c>
      <c r="I26">
        <f t="shared" si="4"/>
        <v>162.46199999999999</v>
      </c>
      <c r="J26">
        <f>HN!J26</f>
        <v>504</v>
      </c>
      <c r="K26">
        <f>HN!K26*2</f>
        <v>306</v>
      </c>
      <c r="L26">
        <f>HN!L26</f>
        <v>10</v>
      </c>
      <c r="M26">
        <f>HN!M26</f>
        <v>18</v>
      </c>
      <c r="N26">
        <f>HN!K26</f>
        <v>153</v>
      </c>
      <c r="O26">
        <f t="shared" si="5"/>
        <v>18</v>
      </c>
    </row>
    <row r="27" spans="1:15" x14ac:dyDescent="0.3">
      <c r="A27" t="str">
        <f>"2"&amp;HN!A27</f>
        <v>2HN496X199</v>
      </c>
      <c r="B27">
        <f>2*HN!B27</f>
        <v>19887.8</v>
      </c>
      <c r="C27">
        <f>2*HN!C27</f>
        <v>818247880</v>
      </c>
      <c r="D27">
        <f>ROUND(HN!D27*2+HN!B27*HN!K27^2/2,1)</f>
        <v>233748032</v>
      </c>
      <c r="E27">
        <f t="shared" si="0"/>
        <v>3299386.6</v>
      </c>
      <c r="F27">
        <f t="shared" si="1"/>
        <v>1174613.2</v>
      </c>
      <c r="G27">
        <f t="shared" si="2"/>
        <v>202.8</v>
      </c>
      <c r="H27">
        <f t="shared" si="3"/>
        <v>108.4</v>
      </c>
      <c r="I27">
        <f t="shared" si="4"/>
        <v>156.119</v>
      </c>
      <c r="J27">
        <f>HN!J27</f>
        <v>496</v>
      </c>
      <c r="K27">
        <f>HN!K27*2</f>
        <v>398</v>
      </c>
      <c r="L27">
        <f>HN!L27</f>
        <v>9</v>
      </c>
      <c r="M27">
        <f>HN!M27</f>
        <v>14</v>
      </c>
      <c r="N27">
        <f>HN!K27</f>
        <v>199</v>
      </c>
      <c r="O27">
        <f t="shared" si="5"/>
        <v>14</v>
      </c>
    </row>
    <row r="28" spans="1:15" x14ac:dyDescent="0.3">
      <c r="A28" t="str">
        <f>"2"&amp;HN!A28</f>
        <v>2HN500X200</v>
      </c>
      <c r="B28">
        <f>2*HN!B28</f>
        <v>22479.8</v>
      </c>
      <c r="C28">
        <f>2*HN!C28</f>
        <v>937787340</v>
      </c>
      <c r="D28">
        <f>ROUND(HN!D28*2+HN!B28*HN!K28^2/2,1)</f>
        <v>267566026</v>
      </c>
      <c r="E28">
        <f t="shared" si="0"/>
        <v>3751149.4</v>
      </c>
      <c r="F28">
        <f t="shared" si="1"/>
        <v>1337830.1000000001</v>
      </c>
      <c r="G28">
        <f t="shared" si="2"/>
        <v>204.2</v>
      </c>
      <c r="H28">
        <f t="shared" si="3"/>
        <v>109.1</v>
      </c>
      <c r="I28">
        <f t="shared" si="4"/>
        <v>176.46600000000001</v>
      </c>
      <c r="J28">
        <f>HN!J28</f>
        <v>500</v>
      </c>
      <c r="K28">
        <f>HN!K28*2</f>
        <v>400</v>
      </c>
      <c r="L28">
        <f>HN!L28</f>
        <v>10</v>
      </c>
      <c r="M28">
        <f>HN!M28</f>
        <v>16</v>
      </c>
      <c r="N28">
        <f>HN!K28</f>
        <v>200</v>
      </c>
      <c r="O28">
        <f t="shared" si="5"/>
        <v>16</v>
      </c>
    </row>
    <row r="29" spans="1:15" x14ac:dyDescent="0.3">
      <c r="A29" t="str">
        <f>"2"&amp;HN!A29</f>
        <v>2HN506X201</v>
      </c>
      <c r="B29">
        <f>2*HN!B29</f>
        <v>25891.8</v>
      </c>
      <c r="C29">
        <f>2*HN!C29</f>
        <v>1112000000</v>
      </c>
      <c r="D29">
        <f>ROUND(HN!D29*2+HN!B29*HN!K29^2/2,1)</f>
        <v>313073973</v>
      </c>
      <c r="E29">
        <f t="shared" si="0"/>
        <v>4395256.9000000004</v>
      </c>
      <c r="F29">
        <f t="shared" si="1"/>
        <v>1557582</v>
      </c>
      <c r="G29">
        <f t="shared" si="2"/>
        <v>207.2</v>
      </c>
      <c r="H29">
        <f t="shared" si="3"/>
        <v>110</v>
      </c>
      <c r="I29">
        <f t="shared" si="4"/>
        <v>203.251</v>
      </c>
      <c r="J29">
        <f>HN!J29</f>
        <v>506</v>
      </c>
      <c r="K29">
        <f>HN!K29*2</f>
        <v>402</v>
      </c>
      <c r="L29">
        <f>HN!L29</f>
        <v>11</v>
      </c>
      <c r="M29">
        <f>HN!M29</f>
        <v>19</v>
      </c>
      <c r="N29">
        <f>HN!K29</f>
        <v>201</v>
      </c>
      <c r="O29">
        <f t="shared" si="5"/>
        <v>19</v>
      </c>
    </row>
    <row r="30" spans="1:15" x14ac:dyDescent="0.3">
      <c r="A30" t="str">
        <f>"2"&amp;HN!A30</f>
        <v>2HN546X199</v>
      </c>
      <c r="B30">
        <f>2*HN!B30</f>
        <v>20787.8</v>
      </c>
      <c r="C30">
        <f>2*HN!C30</f>
        <v>1018123780</v>
      </c>
      <c r="D30">
        <f>ROUND(HN!D30*2+HN!B30*HN!K30^2/2,1)</f>
        <v>242664331</v>
      </c>
      <c r="E30">
        <f t="shared" si="0"/>
        <v>3729391.1</v>
      </c>
      <c r="F30">
        <f t="shared" si="1"/>
        <v>1219418.7</v>
      </c>
      <c r="G30">
        <f t="shared" si="2"/>
        <v>221.3</v>
      </c>
      <c r="H30">
        <f t="shared" si="3"/>
        <v>108</v>
      </c>
      <c r="I30">
        <f t="shared" si="4"/>
        <v>163.184</v>
      </c>
      <c r="J30">
        <f>HN!J30</f>
        <v>546</v>
      </c>
      <c r="K30">
        <f>HN!K30*2</f>
        <v>398</v>
      </c>
      <c r="L30">
        <f>HN!L30</f>
        <v>9</v>
      </c>
      <c r="M30">
        <f>HN!M30</f>
        <v>14</v>
      </c>
      <c r="N30">
        <f>HN!K30</f>
        <v>199</v>
      </c>
      <c r="O30">
        <f t="shared" si="5"/>
        <v>14</v>
      </c>
    </row>
    <row r="31" spans="1:15" x14ac:dyDescent="0.3">
      <c r="A31" t="str">
        <f>"2"&amp;HN!A31</f>
        <v>2HN550X200</v>
      </c>
      <c r="B31">
        <f>2*HN!B31</f>
        <v>23479.8</v>
      </c>
      <c r="C31">
        <f>2*HN!C31</f>
        <v>1165374460</v>
      </c>
      <c r="D31">
        <f>ROUND(HN!D31*2+HN!B31*HN!K31^2/2,1)</f>
        <v>277574358</v>
      </c>
      <c r="E31">
        <f t="shared" si="0"/>
        <v>4237725.3</v>
      </c>
      <c r="F31">
        <f t="shared" si="1"/>
        <v>1387871.8</v>
      </c>
      <c r="G31">
        <f t="shared" si="2"/>
        <v>222.8</v>
      </c>
      <c r="H31">
        <f t="shared" si="3"/>
        <v>108.7</v>
      </c>
      <c r="I31">
        <f t="shared" si="4"/>
        <v>184.316</v>
      </c>
      <c r="J31">
        <f>HN!J31</f>
        <v>550</v>
      </c>
      <c r="K31">
        <f>HN!K31*2</f>
        <v>400</v>
      </c>
      <c r="L31">
        <f>HN!L31</f>
        <v>10</v>
      </c>
      <c r="M31">
        <f>HN!M31</f>
        <v>16</v>
      </c>
      <c r="N31">
        <f>HN!K31</f>
        <v>200</v>
      </c>
      <c r="O31">
        <f t="shared" si="5"/>
        <v>16</v>
      </c>
    </row>
    <row r="32" spans="1:15" x14ac:dyDescent="0.3">
      <c r="A32" t="str">
        <f>"2"&amp;HN!A32</f>
        <v>2HN596X199</v>
      </c>
      <c r="B32">
        <f>2*HN!B32</f>
        <v>23579.8</v>
      </c>
      <c r="C32">
        <f>2*HN!C32</f>
        <v>1335108340</v>
      </c>
      <c r="D32">
        <f>ROUND(HN!D32*2+HN!B32*HN!K32^2/2,1)</f>
        <v>272966601</v>
      </c>
      <c r="E32">
        <f t="shared" si="0"/>
        <v>4480229.3</v>
      </c>
      <c r="F32">
        <f t="shared" si="1"/>
        <v>1371691.5</v>
      </c>
      <c r="G32">
        <f t="shared" si="2"/>
        <v>238</v>
      </c>
      <c r="H32">
        <f t="shared" si="3"/>
        <v>107.6</v>
      </c>
      <c r="I32">
        <f t="shared" si="4"/>
        <v>185.101</v>
      </c>
      <c r="J32">
        <f>HN!J32</f>
        <v>596</v>
      </c>
      <c r="K32">
        <f>HN!K32*2</f>
        <v>398</v>
      </c>
      <c r="L32">
        <f>HN!L32</f>
        <v>10</v>
      </c>
      <c r="M32">
        <f>HN!M32</f>
        <v>15</v>
      </c>
      <c r="N32">
        <f>HN!K32</f>
        <v>199</v>
      </c>
      <c r="O32">
        <f t="shared" si="5"/>
        <v>15</v>
      </c>
    </row>
    <row r="33" spans="1:15" x14ac:dyDescent="0.3">
      <c r="A33" t="str">
        <f>"2"&amp;HN!A33</f>
        <v>2HN600X200</v>
      </c>
      <c r="B33">
        <f>2*HN!B33</f>
        <v>26371.8</v>
      </c>
      <c r="C33">
        <f>2*HN!C33</f>
        <v>1513435260</v>
      </c>
      <c r="D33">
        <f>ROUND(HN!D33*2+HN!B33*HN!K33^2/2,1)</f>
        <v>309202920</v>
      </c>
      <c r="E33">
        <f t="shared" si="0"/>
        <v>5044784.2</v>
      </c>
      <c r="F33">
        <f t="shared" si="1"/>
        <v>1546014.6</v>
      </c>
      <c r="G33">
        <f t="shared" si="2"/>
        <v>239.6</v>
      </c>
      <c r="H33">
        <f t="shared" si="3"/>
        <v>108.3</v>
      </c>
      <c r="I33">
        <f t="shared" si="4"/>
        <v>207.01900000000001</v>
      </c>
      <c r="J33">
        <f>HN!J33</f>
        <v>600</v>
      </c>
      <c r="K33">
        <f>HN!K33*2</f>
        <v>400</v>
      </c>
      <c r="L33">
        <f>HN!L33</f>
        <v>11</v>
      </c>
      <c r="M33">
        <f>HN!M33</f>
        <v>17</v>
      </c>
      <c r="N33">
        <f>HN!K33</f>
        <v>200</v>
      </c>
      <c r="O33">
        <f t="shared" si="5"/>
        <v>17</v>
      </c>
    </row>
    <row r="34" spans="1:15" x14ac:dyDescent="0.3">
      <c r="A34" t="str">
        <f>"2"&amp;HN!A34</f>
        <v>2HN606X201</v>
      </c>
      <c r="B34">
        <f>2*HN!B34</f>
        <v>29983.8</v>
      </c>
      <c r="C34">
        <f>2*HN!C34</f>
        <v>1768693300</v>
      </c>
      <c r="D34">
        <f>ROUND(HN!D34*2+HN!B34*HN!K34^2/2,1)</f>
        <v>357173082</v>
      </c>
      <c r="E34">
        <f t="shared" si="0"/>
        <v>5837271.5999999996</v>
      </c>
      <c r="F34">
        <f t="shared" si="1"/>
        <v>1776980.5</v>
      </c>
      <c r="G34">
        <f t="shared" si="2"/>
        <v>242.9</v>
      </c>
      <c r="H34">
        <f t="shared" si="3"/>
        <v>109.1</v>
      </c>
      <c r="I34">
        <f t="shared" si="4"/>
        <v>235.37299999999999</v>
      </c>
      <c r="J34">
        <f>HN!J34</f>
        <v>606</v>
      </c>
      <c r="K34">
        <f>HN!K34*2</f>
        <v>402</v>
      </c>
      <c r="L34">
        <f>HN!L34</f>
        <v>12</v>
      </c>
      <c r="M34">
        <f>HN!M34</f>
        <v>20</v>
      </c>
      <c r="N34">
        <f>HN!K34</f>
        <v>201</v>
      </c>
      <c r="O34">
        <f t="shared" si="5"/>
        <v>20</v>
      </c>
    </row>
    <row r="35" spans="1:15" x14ac:dyDescent="0.3">
      <c r="A35" t="str">
        <f>"2"&amp;HN!A35</f>
        <v>2HN625X198.5</v>
      </c>
      <c r="B35">
        <f>2*HN!B35</f>
        <v>30144.799999999999</v>
      </c>
      <c r="C35">
        <f>2*HN!C35</f>
        <v>1771723680</v>
      </c>
      <c r="D35">
        <f>ROUND(HN!D35*2+HN!B35*HN!K35^2/2,1)</f>
        <v>342843096.5</v>
      </c>
      <c r="E35">
        <f t="shared" si="0"/>
        <v>5669515.7999999998</v>
      </c>
      <c r="F35">
        <f t="shared" si="1"/>
        <v>1727169.3</v>
      </c>
      <c r="G35">
        <f t="shared" si="2"/>
        <v>242.4</v>
      </c>
      <c r="H35">
        <f t="shared" si="3"/>
        <v>106.6</v>
      </c>
      <c r="I35">
        <f t="shared" si="4"/>
        <v>236.637</v>
      </c>
      <c r="J35">
        <f>HN!J35</f>
        <v>625</v>
      </c>
      <c r="K35">
        <f>HN!K35*2</f>
        <v>397</v>
      </c>
      <c r="L35">
        <f>HN!L35</f>
        <v>13.5</v>
      </c>
      <c r="M35">
        <f>HN!M35</f>
        <v>17.5</v>
      </c>
      <c r="N35">
        <f>HN!K35</f>
        <v>198.5</v>
      </c>
      <c r="O35">
        <f t="shared" si="5"/>
        <v>17.5</v>
      </c>
    </row>
    <row r="36" spans="1:15" x14ac:dyDescent="0.3">
      <c r="A36" t="str">
        <f>"2"&amp;HN!A36</f>
        <v>2HN630X200</v>
      </c>
      <c r="B36">
        <f>2*HN!B36</f>
        <v>34019.800000000003</v>
      </c>
      <c r="C36">
        <f>2*HN!C36</f>
        <v>2029638000</v>
      </c>
      <c r="D36">
        <f>ROUND(HN!D36*2+HN!B36*HN!K36^2/2,1)</f>
        <v>393901514</v>
      </c>
      <c r="E36">
        <f t="shared" si="0"/>
        <v>6443295.2000000002</v>
      </c>
      <c r="F36">
        <f t="shared" si="1"/>
        <v>1969507.6</v>
      </c>
      <c r="G36">
        <f t="shared" si="2"/>
        <v>244.3</v>
      </c>
      <c r="H36">
        <f t="shared" si="3"/>
        <v>107.6</v>
      </c>
      <c r="I36">
        <f t="shared" si="4"/>
        <v>267.05500000000001</v>
      </c>
      <c r="J36">
        <f>HN!J36</f>
        <v>630</v>
      </c>
      <c r="K36">
        <f>HN!K36*2</f>
        <v>400</v>
      </c>
      <c r="L36">
        <f>HN!L36</f>
        <v>15</v>
      </c>
      <c r="M36">
        <f>HN!M36</f>
        <v>20</v>
      </c>
      <c r="N36">
        <f>HN!K36</f>
        <v>200</v>
      </c>
      <c r="O36">
        <f t="shared" si="5"/>
        <v>20</v>
      </c>
    </row>
    <row r="37" spans="1:15" x14ac:dyDescent="0.3">
      <c r="A37" t="str">
        <f>"2"&amp;HN!A37</f>
        <v>2HN638X202</v>
      </c>
      <c r="B37">
        <f>2*HN!B37</f>
        <v>39771.800000000003</v>
      </c>
      <c r="C37">
        <f>2*HN!C37</f>
        <v>2437771800</v>
      </c>
      <c r="D37">
        <f>ROUND(HN!D37*2+HN!B37*HN!K37^2/2,1)</f>
        <v>472179911.80000001</v>
      </c>
      <c r="E37">
        <f t="shared" si="0"/>
        <v>7641917.9000000004</v>
      </c>
      <c r="F37">
        <f t="shared" si="1"/>
        <v>2337524.2999999998</v>
      </c>
      <c r="G37">
        <f t="shared" si="2"/>
        <v>247.6</v>
      </c>
      <c r="H37">
        <f t="shared" si="3"/>
        <v>109</v>
      </c>
      <c r="I37">
        <f t="shared" si="4"/>
        <v>312.209</v>
      </c>
      <c r="J37">
        <f>HN!J37</f>
        <v>638</v>
      </c>
      <c r="K37">
        <f>HN!K37*2</f>
        <v>404</v>
      </c>
      <c r="L37">
        <f>HN!L37</f>
        <v>17</v>
      </c>
      <c r="M37">
        <f>HN!M37</f>
        <v>24</v>
      </c>
      <c r="N37">
        <f>HN!K37</f>
        <v>202</v>
      </c>
      <c r="O37">
        <f t="shared" si="5"/>
        <v>24</v>
      </c>
    </row>
    <row r="38" spans="1:15" x14ac:dyDescent="0.3">
      <c r="A38" t="str">
        <f>"2"&amp;HN!A38</f>
        <v>2HN646X299</v>
      </c>
      <c r="B38">
        <f>2*HN!B38</f>
        <v>36781.199999999997</v>
      </c>
      <c r="C38">
        <f>2*HN!C38</f>
        <v>2632579800</v>
      </c>
      <c r="D38">
        <f>ROUND(HN!D38*2+HN!B38*HN!K38^2/2,1)</f>
        <v>982703775.29999995</v>
      </c>
      <c r="E38">
        <f t="shared" si="0"/>
        <v>8150401.9000000004</v>
      </c>
      <c r="F38">
        <f t="shared" si="1"/>
        <v>3286634.7</v>
      </c>
      <c r="G38">
        <f t="shared" si="2"/>
        <v>267.5</v>
      </c>
      <c r="H38">
        <f t="shared" si="3"/>
        <v>163.5</v>
      </c>
      <c r="I38">
        <f t="shared" si="4"/>
        <v>288.73200000000003</v>
      </c>
      <c r="J38">
        <f>HN!J38</f>
        <v>646</v>
      </c>
      <c r="K38">
        <f>HN!K38*2</f>
        <v>598</v>
      </c>
      <c r="L38">
        <f>HN!L38</f>
        <v>12</v>
      </c>
      <c r="M38">
        <f>HN!M38</f>
        <v>18</v>
      </c>
      <c r="N38">
        <f>HN!K38</f>
        <v>299</v>
      </c>
      <c r="O38">
        <f t="shared" si="5"/>
        <v>18</v>
      </c>
    </row>
    <row r="39" spans="1:15" x14ac:dyDescent="0.3">
      <c r="A39" t="str">
        <f>"2"&amp;HN!A39</f>
        <v>2HN650X300</v>
      </c>
      <c r="B39">
        <f>2*HN!B39</f>
        <v>40473.199999999997</v>
      </c>
      <c r="C39">
        <f>2*HN!C39</f>
        <v>2929454000</v>
      </c>
      <c r="D39">
        <f>ROUND(HN!D39*2+HN!B39*HN!K39^2/2,1)</f>
        <v>1090950508</v>
      </c>
      <c r="E39">
        <f t="shared" si="0"/>
        <v>9013704.5999999996</v>
      </c>
      <c r="F39">
        <f t="shared" si="1"/>
        <v>3636501.7</v>
      </c>
      <c r="G39">
        <f t="shared" si="2"/>
        <v>269</v>
      </c>
      <c r="H39">
        <f t="shared" si="3"/>
        <v>164.2</v>
      </c>
      <c r="I39">
        <f t="shared" si="4"/>
        <v>317.71499999999997</v>
      </c>
      <c r="J39">
        <f>HN!J39</f>
        <v>650</v>
      </c>
      <c r="K39">
        <f>HN!K39*2</f>
        <v>600</v>
      </c>
      <c r="L39">
        <f>HN!L39</f>
        <v>13</v>
      </c>
      <c r="M39">
        <f>HN!M39</f>
        <v>20</v>
      </c>
      <c r="N39">
        <f>HN!K39</f>
        <v>300</v>
      </c>
      <c r="O39">
        <f t="shared" si="5"/>
        <v>20</v>
      </c>
    </row>
    <row r="40" spans="1:15" x14ac:dyDescent="0.3">
      <c r="A40" t="str">
        <f>"2"&amp;HN!A40</f>
        <v>2HN654X301</v>
      </c>
      <c r="B40">
        <f>2*HN!B40</f>
        <v>44181.2</v>
      </c>
      <c r="C40">
        <f>2*HN!C40</f>
        <v>3231138200</v>
      </c>
      <c r="D40">
        <f>ROUND(HN!D40*2+HN!B40*HN!K40^2/2,1)</f>
        <v>1201067725.3</v>
      </c>
      <c r="E40">
        <f t="shared" si="0"/>
        <v>9881156.5999999996</v>
      </c>
      <c r="F40">
        <f t="shared" si="1"/>
        <v>3990258.2</v>
      </c>
      <c r="G40">
        <f t="shared" si="2"/>
        <v>270.39999999999998</v>
      </c>
      <c r="H40">
        <f t="shared" si="3"/>
        <v>164.9</v>
      </c>
      <c r="I40">
        <f t="shared" si="4"/>
        <v>346.822</v>
      </c>
      <c r="J40">
        <f>HN!J40</f>
        <v>654</v>
      </c>
      <c r="K40">
        <f>HN!K40*2</f>
        <v>602</v>
      </c>
      <c r="L40">
        <f>HN!L40</f>
        <v>14</v>
      </c>
      <c r="M40">
        <f>HN!M40</f>
        <v>22</v>
      </c>
      <c r="N40">
        <f>HN!K40</f>
        <v>301</v>
      </c>
      <c r="O40">
        <f t="shared" si="5"/>
        <v>22</v>
      </c>
    </row>
    <row r="41" spans="1:15" x14ac:dyDescent="0.3">
      <c r="A41" t="str">
        <f>"2"&amp;HN!A41</f>
        <v>2HN692X300</v>
      </c>
      <c r="B41">
        <f>2*HN!B41</f>
        <v>41565.199999999997</v>
      </c>
      <c r="C41">
        <f>2*HN!C41</f>
        <v>3374311600</v>
      </c>
      <c r="D41">
        <f>ROUND(HN!D41*2+HN!B41*HN!K41^2/2,1)</f>
        <v>1115535888</v>
      </c>
      <c r="E41">
        <f t="shared" si="0"/>
        <v>9752345.6999999993</v>
      </c>
      <c r="F41">
        <f t="shared" si="1"/>
        <v>3718453</v>
      </c>
      <c r="G41">
        <f t="shared" si="2"/>
        <v>284.89999999999998</v>
      </c>
      <c r="H41">
        <f t="shared" si="3"/>
        <v>163.80000000000001</v>
      </c>
      <c r="I41">
        <f t="shared" si="4"/>
        <v>326.28699999999998</v>
      </c>
      <c r="J41">
        <f>HN!J41</f>
        <v>692</v>
      </c>
      <c r="K41">
        <f>HN!K41*2</f>
        <v>600</v>
      </c>
      <c r="L41">
        <f>HN!L41</f>
        <v>13</v>
      </c>
      <c r="M41">
        <f>HN!M41</f>
        <v>20</v>
      </c>
      <c r="N41">
        <f>HN!K41</f>
        <v>300</v>
      </c>
      <c r="O41">
        <f t="shared" si="5"/>
        <v>20</v>
      </c>
    </row>
    <row r="42" spans="1:15" x14ac:dyDescent="0.3">
      <c r="A42" t="str">
        <f>"2"&amp;HN!A42</f>
        <v>2HN700X300</v>
      </c>
      <c r="B42">
        <f>2*HN!B42</f>
        <v>46365.2</v>
      </c>
      <c r="C42">
        <f>2*HN!C42</f>
        <v>3955617200</v>
      </c>
      <c r="D42">
        <f>ROUND(HN!D42*2+HN!B42*HN!K42^2/2,1)</f>
        <v>1259535880</v>
      </c>
      <c r="E42">
        <f t="shared" si="0"/>
        <v>11301763.4</v>
      </c>
      <c r="F42">
        <f t="shared" si="1"/>
        <v>4198452.9000000004</v>
      </c>
      <c r="G42">
        <f t="shared" si="2"/>
        <v>292.10000000000002</v>
      </c>
      <c r="H42">
        <f t="shared" si="3"/>
        <v>164.8</v>
      </c>
      <c r="I42">
        <f t="shared" si="4"/>
        <v>363.96699999999998</v>
      </c>
      <c r="J42">
        <f>HN!J42</f>
        <v>700</v>
      </c>
      <c r="K42">
        <f>HN!K42*2</f>
        <v>600</v>
      </c>
      <c r="L42">
        <f>HN!L42</f>
        <v>13</v>
      </c>
      <c r="M42">
        <f>HN!M42</f>
        <v>24</v>
      </c>
      <c r="N42">
        <f>HN!K42</f>
        <v>300</v>
      </c>
      <c r="O42">
        <f t="shared" si="5"/>
        <v>24</v>
      </c>
    </row>
    <row r="43" spans="1:15" x14ac:dyDescent="0.3">
      <c r="A43" t="str">
        <f>"2"&amp;HN!A43</f>
        <v>2HN734X299</v>
      </c>
      <c r="B43">
        <f>2*HN!B43</f>
        <v>36597.199999999997</v>
      </c>
      <c r="C43">
        <f>2*HN!C43</f>
        <v>3232296600</v>
      </c>
      <c r="D43">
        <f>ROUND(HN!D43*2+HN!B43*HN!K43^2/2,1)</f>
        <v>960797225.29999995</v>
      </c>
      <c r="E43">
        <f t="shared" si="0"/>
        <v>8807347.6999999993</v>
      </c>
      <c r="F43">
        <f t="shared" si="1"/>
        <v>3213368.6</v>
      </c>
      <c r="G43">
        <f t="shared" si="2"/>
        <v>297.2</v>
      </c>
      <c r="H43">
        <f t="shared" si="3"/>
        <v>162</v>
      </c>
      <c r="I43">
        <f t="shared" si="4"/>
        <v>287.28800000000001</v>
      </c>
      <c r="J43">
        <f>HN!J43</f>
        <v>734</v>
      </c>
      <c r="K43">
        <f>HN!K43*2</f>
        <v>598</v>
      </c>
      <c r="L43">
        <f>HN!L43</f>
        <v>12</v>
      </c>
      <c r="M43">
        <f>HN!M43</f>
        <v>16</v>
      </c>
      <c r="N43">
        <f>HN!K43</f>
        <v>299</v>
      </c>
      <c r="O43">
        <f t="shared" si="5"/>
        <v>16</v>
      </c>
    </row>
    <row r="44" spans="1:15" x14ac:dyDescent="0.3">
      <c r="A44" t="str">
        <f>"2"&amp;HN!A44</f>
        <v>2HN742X300</v>
      </c>
      <c r="B44">
        <f>2*HN!B44</f>
        <v>42865.2</v>
      </c>
      <c r="C44">
        <f>2*HN!C44</f>
        <v>3951783600</v>
      </c>
      <c r="D44">
        <f>ROUND(HN!D44*2+HN!B44*HN!K44^2/2,1)</f>
        <v>1144804196</v>
      </c>
      <c r="E44">
        <f t="shared" si="0"/>
        <v>10651707.800000001</v>
      </c>
      <c r="F44">
        <f t="shared" si="1"/>
        <v>3816014</v>
      </c>
      <c r="G44">
        <f t="shared" si="2"/>
        <v>303.60000000000002</v>
      </c>
      <c r="H44">
        <f t="shared" si="3"/>
        <v>163.4</v>
      </c>
      <c r="I44">
        <f t="shared" si="4"/>
        <v>336.49200000000002</v>
      </c>
      <c r="J44">
        <f>HN!J44</f>
        <v>742</v>
      </c>
      <c r="K44">
        <f>HN!K44*2</f>
        <v>600</v>
      </c>
      <c r="L44">
        <f>HN!L44</f>
        <v>13</v>
      </c>
      <c r="M44">
        <f>HN!M44</f>
        <v>20</v>
      </c>
      <c r="N44">
        <f>HN!K44</f>
        <v>300</v>
      </c>
      <c r="O44">
        <f t="shared" si="5"/>
        <v>20</v>
      </c>
    </row>
    <row r="45" spans="1:15" x14ac:dyDescent="0.3">
      <c r="A45" t="str">
        <f>"2"&amp;HN!A45</f>
        <v>2HN750X300</v>
      </c>
      <c r="B45">
        <f>2*HN!B45</f>
        <v>47665.2</v>
      </c>
      <c r="C45">
        <f>2*HN!C45</f>
        <v>4619609200</v>
      </c>
      <c r="D45">
        <f>ROUND(HN!D45*2+HN!B45*HN!K45^2/2,1)</f>
        <v>1288804200</v>
      </c>
      <c r="E45">
        <f t="shared" si="0"/>
        <v>12318957.9</v>
      </c>
      <c r="F45">
        <f t="shared" si="1"/>
        <v>4296014</v>
      </c>
      <c r="G45">
        <f t="shared" si="2"/>
        <v>311.3</v>
      </c>
      <c r="H45">
        <f t="shared" si="3"/>
        <v>164.4</v>
      </c>
      <c r="I45">
        <f t="shared" si="4"/>
        <v>374.17200000000003</v>
      </c>
      <c r="J45">
        <f>HN!J45</f>
        <v>750</v>
      </c>
      <c r="K45">
        <f>HN!K45*2</f>
        <v>600</v>
      </c>
      <c r="L45">
        <f>HN!L45</f>
        <v>13</v>
      </c>
      <c r="M45">
        <f>HN!M45</f>
        <v>24</v>
      </c>
      <c r="N45">
        <f>HN!K45</f>
        <v>300</v>
      </c>
      <c r="O45">
        <f t="shared" si="5"/>
        <v>24</v>
      </c>
    </row>
    <row r="46" spans="1:15" x14ac:dyDescent="0.3">
      <c r="A46" t="str">
        <f>"2"&amp;HN!A46</f>
        <v>2HN758X303</v>
      </c>
      <c r="B46">
        <f>2*HN!B46</f>
        <v>57013.2</v>
      </c>
      <c r="C46">
        <f>2*HN!C46</f>
        <v>5519594600</v>
      </c>
      <c r="D46">
        <f>ROUND(HN!D46*2+HN!B46*HN!K46^2/2,1)</f>
        <v>1568797679.7</v>
      </c>
      <c r="E46">
        <f t="shared" si="0"/>
        <v>14563574.1</v>
      </c>
      <c r="F46">
        <f t="shared" si="1"/>
        <v>5177550.0999999996</v>
      </c>
      <c r="G46">
        <f t="shared" si="2"/>
        <v>311.10000000000002</v>
      </c>
      <c r="H46">
        <f t="shared" si="3"/>
        <v>165.9</v>
      </c>
      <c r="I46">
        <f t="shared" si="4"/>
        <v>447.55399999999997</v>
      </c>
      <c r="J46">
        <f>HN!J46</f>
        <v>758</v>
      </c>
      <c r="K46">
        <f>HN!K46*2</f>
        <v>606</v>
      </c>
      <c r="L46">
        <f>HN!L46</f>
        <v>16</v>
      </c>
      <c r="M46">
        <f>HN!M46</f>
        <v>28</v>
      </c>
      <c r="N46">
        <f>HN!K46</f>
        <v>303</v>
      </c>
      <c r="O46">
        <f t="shared" si="5"/>
        <v>28</v>
      </c>
    </row>
    <row r="47" spans="1:15" x14ac:dyDescent="0.3">
      <c r="A47" t="str">
        <f>"2"&amp;HN!A47</f>
        <v>2HN792X300</v>
      </c>
      <c r="B47">
        <f>2*HN!B47</f>
        <v>47957.2</v>
      </c>
      <c r="C47">
        <f>2*HN!C47</f>
        <v>4974555200</v>
      </c>
      <c r="D47">
        <f>ROUND(HN!D47*2+HN!B47*HN!K47^2/2,1)</f>
        <v>1277466000</v>
      </c>
      <c r="E47">
        <f t="shared" si="0"/>
        <v>12562008.1</v>
      </c>
      <c r="F47">
        <f t="shared" si="1"/>
        <v>4258220</v>
      </c>
      <c r="G47">
        <f t="shared" si="2"/>
        <v>322.10000000000002</v>
      </c>
      <c r="H47">
        <f t="shared" si="3"/>
        <v>163.19999999999999</v>
      </c>
      <c r="I47">
        <f t="shared" si="4"/>
        <v>376.464</v>
      </c>
      <c r="J47">
        <f>HN!J47</f>
        <v>792</v>
      </c>
      <c r="K47">
        <f>HN!K47*2</f>
        <v>600</v>
      </c>
      <c r="L47">
        <f>HN!L47</f>
        <v>14</v>
      </c>
      <c r="M47">
        <f>HN!M47</f>
        <v>22</v>
      </c>
      <c r="N47">
        <f>HN!K47</f>
        <v>300</v>
      </c>
      <c r="O47">
        <f t="shared" si="5"/>
        <v>22</v>
      </c>
    </row>
    <row r="48" spans="1:15" x14ac:dyDescent="0.3">
      <c r="A48" t="str">
        <f>"2"&amp;HN!A48</f>
        <v>2HN800X300</v>
      </c>
      <c r="B48">
        <f>2*HN!B48</f>
        <v>52757.2</v>
      </c>
      <c r="C48">
        <f>2*HN!C48</f>
        <v>5734900800</v>
      </c>
      <c r="D48">
        <f>ROUND(HN!D48*2+HN!B48*HN!K48^2/2,1)</f>
        <v>1421466000</v>
      </c>
      <c r="E48">
        <f t="shared" si="0"/>
        <v>14337252</v>
      </c>
      <c r="F48">
        <f t="shared" si="1"/>
        <v>4738220</v>
      </c>
      <c r="G48">
        <f t="shared" si="2"/>
        <v>329.7</v>
      </c>
      <c r="H48">
        <f t="shared" si="3"/>
        <v>164.1</v>
      </c>
      <c r="I48">
        <f t="shared" si="4"/>
        <v>414.14400000000001</v>
      </c>
      <c r="J48">
        <f>HN!J48</f>
        <v>800</v>
      </c>
      <c r="K48">
        <f>HN!K48*2</f>
        <v>600</v>
      </c>
      <c r="L48">
        <f>HN!L48</f>
        <v>14</v>
      </c>
      <c r="M48">
        <f>HN!M48</f>
        <v>26</v>
      </c>
      <c r="N48">
        <f>HN!K48</f>
        <v>300</v>
      </c>
      <c r="O48">
        <f t="shared" si="5"/>
        <v>26</v>
      </c>
    </row>
    <row r="49" spans="1:15" x14ac:dyDescent="0.3">
      <c r="A49" t="str">
        <f>"2"&amp;HN!A49</f>
        <v>2HN834X298</v>
      </c>
      <c r="B49">
        <f>2*HN!B49</f>
        <v>45549.2</v>
      </c>
      <c r="C49">
        <f>2*HN!C49</f>
        <v>5033424400</v>
      </c>
      <c r="D49">
        <f>ROUND(HN!D49*2+HN!B49*HN!K49^2/2,1)</f>
        <v>1179291491.2</v>
      </c>
      <c r="E49">
        <f t="shared" si="0"/>
        <v>12070562.1</v>
      </c>
      <c r="F49">
        <f t="shared" si="1"/>
        <v>3957354</v>
      </c>
      <c r="G49">
        <f t="shared" si="2"/>
        <v>332.4</v>
      </c>
      <c r="H49">
        <f t="shared" si="3"/>
        <v>160.9</v>
      </c>
      <c r="I49">
        <f t="shared" si="4"/>
        <v>357.56099999999998</v>
      </c>
      <c r="J49">
        <f>HN!J49</f>
        <v>834</v>
      </c>
      <c r="K49">
        <f>HN!K49*2</f>
        <v>596</v>
      </c>
      <c r="L49">
        <f>HN!L49</f>
        <v>14</v>
      </c>
      <c r="M49">
        <f>HN!M49</f>
        <v>19</v>
      </c>
      <c r="N49">
        <f>HN!K49</f>
        <v>298</v>
      </c>
      <c r="O49">
        <f t="shared" si="5"/>
        <v>19</v>
      </c>
    </row>
    <row r="50" spans="1:15" x14ac:dyDescent="0.3">
      <c r="A50" t="str">
        <f>"2"&amp;HN!A50</f>
        <v>2HN842X299</v>
      </c>
      <c r="B50">
        <f>2*HN!B50</f>
        <v>52001.2</v>
      </c>
      <c r="C50">
        <f>2*HN!C50</f>
        <v>5969997000</v>
      </c>
      <c r="D50">
        <f>ROUND(HN!D50*2+HN!B50*HN!K50^2/2,1)</f>
        <v>1367718460.3</v>
      </c>
      <c r="E50">
        <f t="shared" si="0"/>
        <v>14180515.4</v>
      </c>
      <c r="F50">
        <f t="shared" si="1"/>
        <v>4574309.2</v>
      </c>
      <c r="G50">
        <f t="shared" si="2"/>
        <v>338.8</v>
      </c>
      <c r="H50">
        <f t="shared" si="3"/>
        <v>162.19999999999999</v>
      </c>
      <c r="I50">
        <f t="shared" si="4"/>
        <v>408.209</v>
      </c>
      <c r="J50">
        <f>HN!J50</f>
        <v>842</v>
      </c>
      <c r="K50">
        <f>HN!K50*2</f>
        <v>598</v>
      </c>
      <c r="L50">
        <f>HN!L50</f>
        <v>15</v>
      </c>
      <c r="M50">
        <f>HN!M50</f>
        <v>23</v>
      </c>
      <c r="N50">
        <f>HN!K50</f>
        <v>299</v>
      </c>
      <c r="O50">
        <f t="shared" si="5"/>
        <v>23</v>
      </c>
    </row>
    <row r="51" spans="1:15" x14ac:dyDescent="0.3">
      <c r="A51" t="str">
        <f>"2"&amp;HN!A51</f>
        <v>2HN850X300</v>
      </c>
      <c r="B51">
        <f>2*HN!B51</f>
        <v>58485.2</v>
      </c>
      <c r="C51">
        <f>2*HN!C51</f>
        <v>6928353800</v>
      </c>
      <c r="D51">
        <f>ROUND(HN!D51*2+HN!B51*HN!K51^2/2,1)</f>
        <v>1559561780</v>
      </c>
      <c r="E51">
        <f t="shared" si="0"/>
        <v>16302008.9</v>
      </c>
      <c r="F51">
        <f t="shared" si="1"/>
        <v>5198539.3</v>
      </c>
      <c r="G51">
        <f t="shared" si="2"/>
        <v>344.2</v>
      </c>
      <c r="H51">
        <f t="shared" si="3"/>
        <v>163.30000000000001</v>
      </c>
      <c r="I51">
        <f t="shared" si="4"/>
        <v>459.10899999999998</v>
      </c>
      <c r="J51">
        <f>HN!J51</f>
        <v>850</v>
      </c>
      <c r="K51">
        <f>HN!K51*2</f>
        <v>600</v>
      </c>
      <c r="L51">
        <f>HN!L51</f>
        <v>16</v>
      </c>
      <c r="M51">
        <f>HN!M51</f>
        <v>27</v>
      </c>
      <c r="N51">
        <f>HN!K51</f>
        <v>300</v>
      </c>
      <c r="O51">
        <f t="shared" si="5"/>
        <v>27</v>
      </c>
    </row>
    <row r="52" spans="1:15" x14ac:dyDescent="0.3">
      <c r="A52" t="str">
        <f>"2"&amp;HN!A52</f>
        <v>2HN858X301</v>
      </c>
      <c r="B52">
        <f>2*HN!B52</f>
        <v>65001.2</v>
      </c>
      <c r="C52">
        <f>2*HN!C52</f>
        <v>7908811000</v>
      </c>
      <c r="D52">
        <f>ROUND(HN!D52*2+HN!B52*HN!K52^2/2,1)</f>
        <v>1754853590.3</v>
      </c>
      <c r="E52">
        <f t="shared" si="0"/>
        <v>18435456.899999999</v>
      </c>
      <c r="F52">
        <f t="shared" si="1"/>
        <v>5830078.4000000004</v>
      </c>
      <c r="G52">
        <f t="shared" si="2"/>
        <v>348.8</v>
      </c>
      <c r="H52">
        <f t="shared" si="3"/>
        <v>164.3</v>
      </c>
      <c r="I52">
        <f t="shared" si="4"/>
        <v>510.25900000000001</v>
      </c>
      <c r="J52">
        <f>HN!J52</f>
        <v>858</v>
      </c>
      <c r="K52">
        <f>HN!K52*2</f>
        <v>602</v>
      </c>
      <c r="L52">
        <f>HN!L52</f>
        <v>17</v>
      </c>
      <c r="M52">
        <f>HN!M52</f>
        <v>31</v>
      </c>
      <c r="N52">
        <f>HN!K52</f>
        <v>301</v>
      </c>
      <c r="O52">
        <f t="shared" si="5"/>
        <v>31</v>
      </c>
    </row>
    <row r="53" spans="1:15" x14ac:dyDescent="0.3">
      <c r="A53" t="str">
        <f>"2"&amp;HN!A53</f>
        <v>2HN890X299</v>
      </c>
      <c r="B53">
        <f>2*HN!B53</f>
        <v>53441.2</v>
      </c>
      <c r="C53">
        <f>2*HN!C53</f>
        <v>6780614000</v>
      </c>
      <c r="D53">
        <f>ROUND(HN!D53*2+HN!B53*HN!K53^2/2,1)</f>
        <v>1399929820.3</v>
      </c>
      <c r="E53">
        <f t="shared" si="0"/>
        <v>15237334.800000001</v>
      </c>
      <c r="F53">
        <f t="shared" si="1"/>
        <v>4682039.5</v>
      </c>
      <c r="G53">
        <f t="shared" si="2"/>
        <v>356.2</v>
      </c>
      <c r="H53">
        <f t="shared" si="3"/>
        <v>161.9</v>
      </c>
      <c r="I53">
        <f t="shared" si="4"/>
        <v>419.51299999999998</v>
      </c>
      <c r="J53">
        <f>HN!J53</f>
        <v>890</v>
      </c>
      <c r="K53">
        <f>HN!K53*2</f>
        <v>598</v>
      </c>
      <c r="L53">
        <f>HN!L53</f>
        <v>15</v>
      </c>
      <c r="M53">
        <f>HN!M53</f>
        <v>23</v>
      </c>
      <c r="N53">
        <f>HN!K53</f>
        <v>299</v>
      </c>
      <c r="O53">
        <f t="shared" si="5"/>
        <v>23</v>
      </c>
    </row>
    <row r="54" spans="1:15" x14ac:dyDescent="0.3">
      <c r="A54" t="str">
        <f>"2"&amp;HN!A54</f>
        <v>2HN900X300</v>
      </c>
      <c r="B54">
        <f>2*HN!B54</f>
        <v>61221.2</v>
      </c>
      <c r="C54">
        <f>2*HN!C54</f>
        <v>8099659000</v>
      </c>
      <c r="D54">
        <f>ROUND(HN!D54*2+HN!B54*HN!K54^2/2,1)</f>
        <v>1630154540</v>
      </c>
      <c r="E54">
        <f t="shared" si="0"/>
        <v>17999242.199999999</v>
      </c>
      <c r="F54">
        <f t="shared" si="1"/>
        <v>5433848.5</v>
      </c>
      <c r="G54">
        <f t="shared" si="2"/>
        <v>363.7</v>
      </c>
      <c r="H54">
        <f t="shared" si="3"/>
        <v>163.19999999999999</v>
      </c>
      <c r="I54">
        <f t="shared" si="4"/>
        <v>480.58600000000001</v>
      </c>
      <c r="J54">
        <f>HN!J54</f>
        <v>900</v>
      </c>
      <c r="K54">
        <f>HN!K54*2</f>
        <v>600</v>
      </c>
      <c r="L54">
        <f>HN!L54</f>
        <v>16</v>
      </c>
      <c r="M54">
        <f>HN!M54</f>
        <v>28</v>
      </c>
      <c r="N54">
        <f>HN!K54</f>
        <v>300</v>
      </c>
      <c r="O54">
        <f t="shared" si="5"/>
        <v>28</v>
      </c>
    </row>
    <row r="55" spans="1:15" x14ac:dyDescent="0.3">
      <c r="A55" t="str">
        <f>"2"&amp;HN!A55</f>
        <v>2HN912X302</v>
      </c>
      <c r="B55">
        <f>2*HN!B55</f>
        <v>72069.2</v>
      </c>
      <c r="C55">
        <f>2*HN!C55</f>
        <v>9830035600</v>
      </c>
      <c r="D55">
        <f>ROUND(HN!D55*2+HN!B55*HN!K55^2/2,1)</f>
        <v>1956348149.2</v>
      </c>
      <c r="E55">
        <f t="shared" si="0"/>
        <v>21557095.600000001</v>
      </c>
      <c r="F55">
        <f t="shared" si="1"/>
        <v>6477974</v>
      </c>
      <c r="G55">
        <f t="shared" si="2"/>
        <v>369.3</v>
      </c>
      <c r="H55">
        <f t="shared" si="3"/>
        <v>164.8</v>
      </c>
      <c r="I55">
        <f t="shared" si="4"/>
        <v>565.74300000000005</v>
      </c>
      <c r="J55">
        <f>HN!J55</f>
        <v>912</v>
      </c>
      <c r="K55">
        <f>HN!K55*2</f>
        <v>604</v>
      </c>
      <c r="L55">
        <f>HN!L55</f>
        <v>18</v>
      </c>
      <c r="M55">
        <f>HN!M55</f>
        <v>34</v>
      </c>
      <c r="N55">
        <f>HN!K55</f>
        <v>302</v>
      </c>
      <c r="O55">
        <f t="shared" si="5"/>
        <v>34</v>
      </c>
    </row>
    <row r="56" spans="1:15" x14ac:dyDescent="0.3">
      <c r="A56" t="str">
        <f>"2"&amp;HN!A56</f>
        <v>2HN970X297</v>
      </c>
      <c r="B56">
        <f>2*HN!B56</f>
        <v>55257.2</v>
      </c>
      <c r="C56">
        <f>2*HN!C56</f>
        <v>7878714400</v>
      </c>
      <c r="D56">
        <f>ROUND(HN!D56*2+HN!B56*HN!K56^2/2,1)</f>
        <v>1402666986.7</v>
      </c>
      <c r="E56">
        <f t="shared" si="0"/>
        <v>16244772</v>
      </c>
      <c r="F56">
        <f t="shared" si="1"/>
        <v>4722784.5</v>
      </c>
      <c r="G56">
        <f t="shared" si="2"/>
        <v>377.6</v>
      </c>
      <c r="H56">
        <f t="shared" si="3"/>
        <v>159.30000000000001</v>
      </c>
      <c r="I56">
        <f t="shared" si="4"/>
        <v>433.76900000000001</v>
      </c>
      <c r="J56">
        <f>HN!J56</f>
        <v>970</v>
      </c>
      <c r="K56">
        <f>HN!K56*2</f>
        <v>594</v>
      </c>
      <c r="L56">
        <f>HN!L56</f>
        <v>16</v>
      </c>
      <c r="M56">
        <f>HN!M56</f>
        <v>21</v>
      </c>
      <c r="N56">
        <f>HN!K56</f>
        <v>297</v>
      </c>
      <c r="O56">
        <f t="shared" si="5"/>
        <v>21</v>
      </c>
    </row>
    <row r="57" spans="1:15" x14ac:dyDescent="0.3">
      <c r="A57" t="str">
        <f>"2"&amp;HN!A57</f>
        <v>2HN980X298</v>
      </c>
      <c r="B57">
        <f>2*HN!B57</f>
        <v>63157.2</v>
      </c>
      <c r="C57">
        <f>2*HN!C57</f>
        <v>9447270200</v>
      </c>
      <c r="D57">
        <f>ROUND(HN!D57*2+HN!B57*HN!K57^2/2,1)</f>
        <v>1632373057.2</v>
      </c>
      <c r="E57">
        <f t="shared" si="0"/>
        <v>19280143.300000001</v>
      </c>
      <c r="F57">
        <f t="shared" si="1"/>
        <v>5477761.9000000004</v>
      </c>
      <c r="G57">
        <f t="shared" si="2"/>
        <v>386.8</v>
      </c>
      <c r="H57">
        <f t="shared" si="3"/>
        <v>160.80000000000001</v>
      </c>
      <c r="I57">
        <f t="shared" si="4"/>
        <v>495.78399999999999</v>
      </c>
      <c r="J57">
        <f>HN!J57</f>
        <v>980</v>
      </c>
      <c r="K57">
        <f>HN!K57*2</f>
        <v>596</v>
      </c>
      <c r="L57">
        <f>HN!L57</f>
        <v>17</v>
      </c>
      <c r="M57">
        <f>HN!M57</f>
        <v>26</v>
      </c>
      <c r="N57">
        <f>HN!K57</f>
        <v>298</v>
      </c>
      <c r="O57">
        <f t="shared" si="5"/>
        <v>26</v>
      </c>
    </row>
    <row r="58" spans="1:15" x14ac:dyDescent="0.3">
      <c r="A58" t="str">
        <f>"2"&amp;HN!A58</f>
        <v>2HN990X298</v>
      </c>
      <c r="B58">
        <f>2*HN!B58</f>
        <v>69117.2</v>
      </c>
      <c r="C58">
        <f>2*HN!C58</f>
        <v>10892918000</v>
      </c>
      <c r="D58">
        <f>ROUND(HN!D58*2+HN!B58*HN!K58^2/2,1)</f>
        <v>1808797017.2</v>
      </c>
      <c r="E58">
        <f t="shared" si="0"/>
        <v>22005894.899999999</v>
      </c>
      <c r="F58">
        <f t="shared" si="1"/>
        <v>6069788.5999999996</v>
      </c>
      <c r="G58">
        <f t="shared" si="2"/>
        <v>397</v>
      </c>
      <c r="H58">
        <f t="shared" si="3"/>
        <v>161.80000000000001</v>
      </c>
      <c r="I58">
        <f t="shared" si="4"/>
        <v>542.57000000000005</v>
      </c>
      <c r="J58">
        <f>HN!J58</f>
        <v>990</v>
      </c>
      <c r="K58">
        <f>HN!K58*2</f>
        <v>596</v>
      </c>
      <c r="L58">
        <f>HN!L58</f>
        <v>17</v>
      </c>
      <c r="M58">
        <f>HN!M58</f>
        <v>31</v>
      </c>
      <c r="N58">
        <f>HN!K58</f>
        <v>298</v>
      </c>
      <c r="O58">
        <f t="shared" si="5"/>
        <v>31</v>
      </c>
    </row>
    <row r="59" spans="1:15" x14ac:dyDescent="0.3">
      <c r="A59" t="str">
        <f>"2"&amp;HN!A59</f>
        <v>2HN1000X300</v>
      </c>
      <c r="B59">
        <f>2*HN!B59</f>
        <v>79077.2</v>
      </c>
      <c r="C59">
        <f>2*HN!C59</f>
        <v>12701401000</v>
      </c>
      <c r="D59">
        <f>ROUND(HN!D59*2+HN!B59*HN!K59^2/2,1)</f>
        <v>2104423220</v>
      </c>
      <c r="E59">
        <f t="shared" si="0"/>
        <v>25402802</v>
      </c>
      <c r="F59">
        <f t="shared" si="1"/>
        <v>7014744.0999999996</v>
      </c>
      <c r="G59">
        <f t="shared" si="2"/>
        <v>400.8</v>
      </c>
      <c r="H59">
        <f t="shared" si="3"/>
        <v>163.1</v>
      </c>
      <c r="I59">
        <f t="shared" si="4"/>
        <v>620.75599999999997</v>
      </c>
      <c r="J59">
        <f>HN!J59</f>
        <v>1000</v>
      </c>
      <c r="K59">
        <f>HN!K59*2</f>
        <v>600</v>
      </c>
      <c r="L59">
        <f>HN!L59</f>
        <v>19</v>
      </c>
      <c r="M59">
        <f>HN!M59</f>
        <v>36</v>
      </c>
      <c r="N59">
        <f>HN!K59</f>
        <v>300</v>
      </c>
      <c r="O59">
        <f t="shared" si="5"/>
        <v>36</v>
      </c>
    </row>
    <row r="60" spans="1:15" x14ac:dyDescent="0.3">
      <c r="A60" t="str">
        <f>"2"&amp;HN!A60</f>
        <v>2HN1008X302</v>
      </c>
      <c r="B60">
        <f>2*HN!B60</f>
        <v>87909.2</v>
      </c>
      <c r="C60">
        <f>2*HN!C60</f>
        <v>14252424000</v>
      </c>
      <c r="D60">
        <f>ROUND(HN!D60*2+HN!B60*HN!K60^2/2,1)</f>
        <v>2373241029.1999998</v>
      </c>
      <c r="E60">
        <f t="shared" si="0"/>
        <v>28278619</v>
      </c>
      <c r="F60">
        <f t="shared" si="1"/>
        <v>7858414</v>
      </c>
      <c r="G60">
        <f t="shared" si="2"/>
        <v>402.6</v>
      </c>
      <c r="H60">
        <f t="shared" si="3"/>
        <v>164.3</v>
      </c>
      <c r="I60">
        <f t="shared" si="4"/>
        <v>690.08699999999999</v>
      </c>
      <c r="J60">
        <f>HN!J60</f>
        <v>1008</v>
      </c>
      <c r="K60">
        <f>HN!K60*2</f>
        <v>604</v>
      </c>
      <c r="L60">
        <f>HN!L60</f>
        <v>21</v>
      </c>
      <c r="M60">
        <f>HN!M60</f>
        <v>40</v>
      </c>
      <c r="N60">
        <f>HN!K60</f>
        <v>302</v>
      </c>
      <c r="O60">
        <f t="shared" si="5"/>
        <v>40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4883B-0D4A-4B5B-AAB0-F3BA18655EBF}">
  <dimension ref="A1:N30"/>
  <sheetViews>
    <sheetView workbookViewId="0">
      <selection activeCell="N9" sqref="N9"/>
    </sheetView>
  </sheetViews>
  <sheetFormatPr defaultRowHeight="14" x14ac:dyDescent="0.3"/>
  <cols>
    <col min="1" max="1" width="12.75" customWidth="1"/>
    <col min="3" max="4" width="12.75" customWidth="1"/>
  </cols>
  <sheetData>
    <row r="1" spans="1:14" x14ac:dyDescent="0.3">
      <c r="A1" s="2" t="s">
        <v>96</v>
      </c>
      <c r="B1" s="3" t="s">
        <v>97</v>
      </c>
      <c r="C1" s="3" t="s">
        <v>114</v>
      </c>
      <c r="D1" s="3" t="s">
        <v>116</v>
      </c>
      <c r="E1" s="3" t="s">
        <v>118</v>
      </c>
      <c r="F1" s="3" t="s">
        <v>124</v>
      </c>
      <c r="G1" s="3" t="s">
        <v>120</v>
      </c>
      <c r="H1" s="3" t="s">
        <v>122</v>
      </c>
      <c r="I1" s="3" t="s">
        <v>126</v>
      </c>
      <c r="J1" s="3" t="s">
        <v>103</v>
      </c>
      <c r="K1" s="3" t="s">
        <v>104</v>
      </c>
      <c r="L1" s="5" t="s">
        <v>109</v>
      </c>
      <c r="M1" s="3" t="s">
        <v>111</v>
      </c>
      <c r="N1" s="3" t="s">
        <v>106</v>
      </c>
    </row>
    <row r="2" spans="1:14" x14ac:dyDescent="0.3">
      <c r="A2" t="s">
        <v>127</v>
      </c>
      <c r="B2">
        <v>2164.6</v>
      </c>
      <c r="C2">
        <v>3788020.7</v>
      </c>
      <c r="D2">
        <v>1336474.2</v>
      </c>
      <c r="E2">
        <f t="shared" ref="E2:E30" si="0">ROUND(C2/J2*2,1)</f>
        <v>75760.399999999994</v>
      </c>
      <c r="F2">
        <f t="shared" ref="F2:F30" si="1">ROUND(D2/K2*2,1)</f>
        <v>26729.5</v>
      </c>
      <c r="G2">
        <f t="shared" ref="G2:G30" si="2">ROUND((C2/B2)^0.5,1)</f>
        <v>41.8</v>
      </c>
      <c r="H2">
        <f t="shared" ref="H2:H30" si="3">ROUND((D2/B2)^0.5,1)</f>
        <v>24.8</v>
      </c>
      <c r="I2">
        <f t="shared" ref="I2:I30" si="4">ROUND(0.00785*B2,3)</f>
        <v>16.992000000000001</v>
      </c>
      <c r="J2">
        <v>100</v>
      </c>
      <c r="K2">
        <v>100</v>
      </c>
      <c r="L2">
        <v>6</v>
      </c>
      <c r="M2">
        <v>8</v>
      </c>
      <c r="N2">
        <v>8</v>
      </c>
    </row>
    <row r="3" spans="1:14" x14ac:dyDescent="0.3">
      <c r="A3" t="s">
        <v>128</v>
      </c>
      <c r="B3">
        <v>3006.1</v>
      </c>
      <c r="C3">
        <v>8409149.8000000007</v>
      </c>
      <c r="D3">
        <v>2933917.5</v>
      </c>
      <c r="E3">
        <f t="shared" si="0"/>
        <v>134546.4</v>
      </c>
      <c r="F3">
        <f t="shared" si="1"/>
        <v>46942.7</v>
      </c>
      <c r="G3">
        <f t="shared" si="2"/>
        <v>52.9</v>
      </c>
      <c r="H3">
        <f t="shared" si="3"/>
        <v>31.2</v>
      </c>
      <c r="I3">
        <f t="shared" si="4"/>
        <v>23.597999999999999</v>
      </c>
      <c r="J3">
        <v>125</v>
      </c>
      <c r="K3">
        <v>125</v>
      </c>
      <c r="L3">
        <v>6.5</v>
      </c>
      <c r="M3">
        <v>9</v>
      </c>
      <c r="N3">
        <v>8</v>
      </c>
    </row>
    <row r="4" spans="1:14" x14ac:dyDescent="0.3">
      <c r="A4" t="s">
        <v>129</v>
      </c>
      <c r="B4">
        <v>3970.6</v>
      </c>
      <c r="C4">
        <v>16247862</v>
      </c>
      <c r="D4">
        <v>5630657</v>
      </c>
      <c r="E4">
        <f t="shared" si="0"/>
        <v>216638.2</v>
      </c>
      <c r="F4">
        <f t="shared" si="1"/>
        <v>75075.399999999994</v>
      </c>
      <c r="G4">
        <f t="shared" si="2"/>
        <v>64</v>
      </c>
      <c r="H4">
        <f t="shared" si="3"/>
        <v>37.700000000000003</v>
      </c>
      <c r="I4">
        <f t="shared" si="4"/>
        <v>31.169</v>
      </c>
      <c r="J4">
        <v>150</v>
      </c>
      <c r="K4">
        <v>150</v>
      </c>
      <c r="L4">
        <v>7</v>
      </c>
      <c r="M4">
        <v>10</v>
      </c>
      <c r="N4">
        <v>8</v>
      </c>
    </row>
    <row r="5" spans="1:14" x14ac:dyDescent="0.3">
      <c r="A5" t="s">
        <v>130</v>
      </c>
      <c r="B5">
        <v>5157.3999999999996</v>
      </c>
      <c r="C5">
        <v>29027628</v>
      </c>
      <c r="D5">
        <v>9839591.6999999993</v>
      </c>
      <c r="E5">
        <f t="shared" si="0"/>
        <v>331744.3</v>
      </c>
      <c r="F5">
        <f t="shared" si="1"/>
        <v>112452.5</v>
      </c>
      <c r="G5">
        <f t="shared" si="2"/>
        <v>75</v>
      </c>
      <c r="H5">
        <f t="shared" si="3"/>
        <v>43.7</v>
      </c>
      <c r="I5">
        <f t="shared" si="4"/>
        <v>40.485999999999997</v>
      </c>
      <c r="J5">
        <v>175</v>
      </c>
      <c r="K5">
        <v>175</v>
      </c>
      <c r="L5">
        <v>7.5</v>
      </c>
      <c r="M5">
        <v>11</v>
      </c>
      <c r="N5">
        <v>13</v>
      </c>
    </row>
    <row r="6" spans="1:14" x14ac:dyDescent="0.3">
      <c r="A6" t="s">
        <v>131</v>
      </c>
      <c r="B6">
        <v>6367.9</v>
      </c>
      <c r="C6">
        <v>47258999</v>
      </c>
      <c r="D6">
        <v>16016759</v>
      </c>
      <c r="E6">
        <f t="shared" si="0"/>
        <v>472590</v>
      </c>
      <c r="F6">
        <f t="shared" si="1"/>
        <v>160167.6</v>
      </c>
      <c r="G6">
        <f t="shared" si="2"/>
        <v>86.1</v>
      </c>
      <c r="H6">
        <f t="shared" si="3"/>
        <v>50.2</v>
      </c>
      <c r="I6">
        <f t="shared" si="4"/>
        <v>49.988</v>
      </c>
      <c r="J6">
        <v>200</v>
      </c>
      <c r="K6">
        <v>200</v>
      </c>
      <c r="L6">
        <v>8</v>
      </c>
      <c r="M6">
        <v>12</v>
      </c>
      <c r="N6">
        <v>13</v>
      </c>
    </row>
    <row r="7" spans="1:14" x14ac:dyDescent="0.3">
      <c r="A7" t="s">
        <v>132</v>
      </c>
      <c r="B7">
        <v>7167.9</v>
      </c>
      <c r="C7">
        <v>49925666</v>
      </c>
      <c r="D7">
        <v>17019101</v>
      </c>
      <c r="E7">
        <f t="shared" si="0"/>
        <v>499256.7</v>
      </c>
      <c r="F7">
        <f t="shared" si="1"/>
        <v>166853.9</v>
      </c>
      <c r="G7">
        <f t="shared" si="2"/>
        <v>83.5</v>
      </c>
      <c r="H7">
        <f t="shared" si="3"/>
        <v>48.7</v>
      </c>
      <c r="I7">
        <f t="shared" si="4"/>
        <v>56.268000000000001</v>
      </c>
      <c r="J7">
        <v>200</v>
      </c>
      <c r="K7">
        <v>204</v>
      </c>
      <c r="L7">
        <v>12</v>
      </c>
      <c r="M7">
        <v>12</v>
      </c>
      <c r="N7">
        <v>13</v>
      </c>
    </row>
    <row r="8" spans="1:14" x14ac:dyDescent="0.3">
      <c r="A8" t="s">
        <v>133</v>
      </c>
      <c r="B8">
        <v>8145.9</v>
      </c>
      <c r="C8">
        <v>87193059</v>
      </c>
      <c r="D8">
        <v>29376486</v>
      </c>
      <c r="E8">
        <f t="shared" si="0"/>
        <v>714697.2</v>
      </c>
      <c r="F8">
        <f t="shared" si="1"/>
        <v>233146.7</v>
      </c>
      <c r="G8">
        <f t="shared" si="2"/>
        <v>103.5</v>
      </c>
      <c r="H8">
        <f t="shared" si="3"/>
        <v>60.1</v>
      </c>
      <c r="I8">
        <f t="shared" si="4"/>
        <v>63.945</v>
      </c>
      <c r="J8">
        <v>244</v>
      </c>
      <c r="K8">
        <v>252</v>
      </c>
      <c r="L8">
        <v>11</v>
      </c>
      <c r="M8">
        <v>11</v>
      </c>
      <c r="N8">
        <v>13</v>
      </c>
    </row>
    <row r="9" spans="1:14" x14ac:dyDescent="0.3">
      <c r="A9" t="s">
        <v>134</v>
      </c>
      <c r="B9">
        <v>9157.9</v>
      </c>
      <c r="C9">
        <v>107651430</v>
      </c>
      <c r="D9">
        <v>36482244</v>
      </c>
      <c r="E9">
        <f t="shared" si="0"/>
        <v>861211.4</v>
      </c>
      <c r="F9">
        <f t="shared" si="1"/>
        <v>291858</v>
      </c>
      <c r="G9">
        <f t="shared" si="2"/>
        <v>108.4</v>
      </c>
      <c r="H9">
        <f t="shared" si="3"/>
        <v>63.1</v>
      </c>
      <c r="I9">
        <f t="shared" si="4"/>
        <v>71.89</v>
      </c>
      <c r="J9">
        <v>250</v>
      </c>
      <c r="K9">
        <v>250</v>
      </c>
      <c r="L9">
        <v>9</v>
      </c>
      <c r="M9">
        <v>14</v>
      </c>
      <c r="N9">
        <v>13</v>
      </c>
    </row>
    <row r="10" spans="1:14" x14ac:dyDescent="0.3">
      <c r="A10" t="s">
        <v>135</v>
      </c>
      <c r="B10">
        <v>10407.9</v>
      </c>
      <c r="C10">
        <v>114161840</v>
      </c>
      <c r="D10">
        <v>38758137</v>
      </c>
      <c r="E10">
        <f t="shared" si="0"/>
        <v>913294.7</v>
      </c>
      <c r="F10">
        <f t="shared" si="1"/>
        <v>303985.40000000002</v>
      </c>
      <c r="G10">
        <f t="shared" si="2"/>
        <v>104.7</v>
      </c>
      <c r="H10">
        <f t="shared" si="3"/>
        <v>61</v>
      </c>
      <c r="I10">
        <f t="shared" si="4"/>
        <v>81.701999999999998</v>
      </c>
      <c r="J10">
        <v>250</v>
      </c>
      <c r="K10">
        <v>255</v>
      </c>
      <c r="L10">
        <v>14</v>
      </c>
      <c r="M10">
        <v>14</v>
      </c>
      <c r="N10">
        <v>13</v>
      </c>
    </row>
    <row r="11" spans="1:14" x14ac:dyDescent="0.3">
      <c r="A11" t="s">
        <v>136</v>
      </c>
      <c r="B11">
        <v>10647.9</v>
      </c>
      <c r="C11">
        <v>166651240</v>
      </c>
      <c r="D11">
        <v>55140525</v>
      </c>
      <c r="E11">
        <f t="shared" si="0"/>
        <v>1133681.8999999999</v>
      </c>
      <c r="F11">
        <f t="shared" si="1"/>
        <v>365169</v>
      </c>
      <c r="G11">
        <f t="shared" si="2"/>
        <v>125.1</v>
      </c>
      <c r="H11">
        <f t="shared" si="3"/>
        <v>72</v>
      </c>
      <c r="I11">
        <f t="shared" si="4"/>
        <v>83.585999999999999</v>
      </c>
      <c r="J11">
        <v>294</v>
      </c>
      <c r="K11">
        <v>302</v>
      </c>
      <c r="L11">
        <v>12</v>
      </c>
      <c r="M11">
        <v>12</v>
      </c>
      <c r="N11">
        <v>13</v>
      </c>
    </row>
    <row r="12" spans="1:14" x14ac:dyDescent="0.3">
      <c r="A12" t="s">
        <v>137</v>
      </c>
      <c r="B12">
        <v>11859.9</v>
      </c>
      <c r="C12">
        <v>202111270</v>
      </c>
      <c r="D12">
        <v>67534179</v>
      </c>
      <c r="E12">
        <f t="shared" si="0"/>
        <v>1347408.5</v>
      </c>
      <c r="F12">
        <f t="shared" si="1"/>
        <v>450227.9</v>
      </c>
      <c r="G12">
        <f t="shared" si="2"/>
        <v>130.5</v>
      </c>
      <c r="H12">
        <f t="shared" si="3"/>
        <v>75.5</v>
      </c>
      <c r="I12">
        <f t="shared" si="4"/>
        <v>93.1</v>
      </c>
      <c r="J12">
        <v>300</v>
      </c>
      <c r="K12">
        <v>300</v>
      </c>
      <c r="L12">
        <v>10</v>
      </c>
      <c r="M12">
        <v>15</v>
      </c>
      <c r="N12">
        <v>13</v>
      </c>
    </row>
    <row r="13" spans="1:14" x14ac:dyDescent="0.3">
      <c r="A13" t="s">
        <v>138</v>
      </c>
      <c r="B13">
        <v>13359.9</v>
      </c>
      <c r="C13">
        <v>213361270</v>
      </c>
      <c r="D13">
        <v>71026653</v>
      </c>
      <c r="E13">
        <f t="shared" si="0"/>
        <v>1422408.5</v>
      </c>
      <c r="F13">
        <f t="shared" si="1"/>
        <v>465748.5</v>
      </c>
      <c r="G13">
        <f t="shared" si="2"/>
        <v>126.4</v>
      </c>
      <c r="H13">
        <f t="shared" si="3"/>
        <v>72.900000000000006</v>
      </c>
      <c r="I13">
        <f t="shared" si="4"/>
        <v>104.875</v>
      </c>
      <c r="J13">
        <v>300</v>
      </c>
      <c r="K13">
        <v>305</v>
      </c>
      <c r="L13">
        <v>15</v>
      </c>
      <c r="M13">
        <v>15</v>
      </c>
      <c r="N13">
        <v>13</v>
      </c>
    </row>
    <row r="14" spans="1:14" x14ac:dyDescent="0.3">
      <c r="A14" t="s">
        <v>139</v>
      </c>
      <c r="B14">
        <v>13341.9</v>
      </c>
      <c r="C14">
        <v>277754550</v>
      </c>
      <c r="D14">
        <v>93767406</v>
      </c>
      <c r="E14">
        <f t="shared" si="0"/>
        <v>1643518</v>
      </c>
      <c r="F14">
        <f t="shared" si="1"/>
        <v>534287.19999999995</v>
      </c>
      <c r="G14">
        <f t="shared" si="2"/>
        <v>144.30000000000001</v>
      </c>
      <c r="H14">
        <f t="shared" si="3"/>
        <v>83.8</v>
      </c>
      <c r="I14">
        <f t="shared" si="4"/>
        <v>104.73399999999999</v>
      </c>
      <c r="J14">
        <v>338</v>
      </c>
      <c r="K14">
        <v>351</v>
      </c>
      <c r="L14">
        <v>13</v>
      </c>
      <c r="M14">
        <v>13</v>
      </c>
      <c r="N14">
        <v>13</v>
      </c>
    </row>
    <row r="15" spans="1:14" x14ac:dyDescent="0.3">
      <c r="A15" t="s">
        <v>140</v>
      </c>
      <c r="B15">
        <v>14415.9</v>
      </c>
      <c r="C15">
        <v>328801180</v>
      </c>
      <c r="D15">
        <v>112422190</v>
      </c>
      <c r="E15">
        <f t="shared" si="0"/>
        <v>1911634.8</v>
      </c>
      <c r="F15">
        <f t="shared" si="1"/>
        <v>646104.5</v>
      </c>
      <c r="G15">
        <f t="shared" si="2"/>
        <v>151</v>
      </c>
      <c r="H15">
        <f t="shared" si="3"/>
        <v>88.3</v>
      </c>
      <c r="I15">
        <f t="shared" si="4"/>
        <v>113.16500000000001</v>
      </c>
      <c r="J15">
        <v>344</v>
      </c>
      <c r="K15">
        <v>348</v>
      </c>
      <c r="L15">
        <v>10</v>
      </c>
      <c r="M15">
        <v>16</v>
      </c>
      <c r="N15">
        <v>13</v>
      </c>
    </row>
    <row r="16" spans="1:14" x14ac:dyDescent="0.3">
      <c r="A16" t="s">
        <v>141</v>
      </c>
      <c r="B16">
        <v>16479.900000000001</v>
      </c>
      <c r="C16">
        <v>349154970</v>
      </c>
      <c r="D16">
        <v>118425690</v>
      </c>
      <c r="E16">
        <f t="shared" si="0"/>
        <v>2029970.8</v>
      </c>
      <c r="F16">
        <f t="shared" si="1"/>
        <v>669071.69999999995</v>
      </c>
      <c r="G16">
        <f t="shared" si="2"/>
        <v>145.6</v>
      </c>
      <c r="H16">
        <f t="shared" si="3"/>
        <v>84.8</v>
      </c>
      <c r="I16">
        <f t="shared" si="4"/>
        <v>129.36699999999999</v>
      </c>
      <c r="J16">
        <v>344</v>
      </c>
      <c r="K16">
        <v>354</v>
      </c>
      <c r="L16">
        <v>16</v>
      </c>
      <c r="M16">
        <v>16</v>
      </c>
      <c r="N16">
        <v>13</v>
      </c>
    </row>
    <row r="17" spans="1:14" x14ac:dyDescent="0.3">
      <c r="A17" t="s">
        <v>142</v>
      </c>
      <c r="B17">
        <v>17203.900000000001</v>
      </c>
      <c r="C17">
        <v>398802080</v>
      </c>
      <c r="D17">
        <v>135830190</v>
      </c>
      <c r="E17">
        <f t="shared" si="0"/>
        <v>2278869</v>
      </c>
      <c r="F17">
        <f t="shared" si="1"/>
        <v>776172.5</v>
      </c>
      <c r="G17">
        <f t="shared" si="2"/>
        <v>152.30000000000001</v>
      </c>
      <c r="H17">
        <f t="shared" si="3"/>
        <v>88.9</v>
      </c>
      <c r="I17">
        <f t="shared" si="4"/>
        <v>135.05099999999999</v>
      </c>
      <c r="J17">
        <v>350</v>
      </c>
      <c r="K17">
        <v>350</v>
      </c>
      <c r="L17">
        <v>12</v>
      </c>
      <c r="M17">
        <v>19</v>
      </c>
      <c r="N17">
        <v>13</v>
      </c>
    </row>
    <row r="18" spans="1:14" x14ac:dyDescent="0.3">
      <c r="A18" t="s">
        <v>143</v>
      </c>
      <c r="B18">
        <v>19653.900000000001</v>
      </c>
      <c r="C18">
        <v>423812490</v>
      </c>
      <c r="D18">
        <v>144286000</v>
      </c>
      <c r="E18">
        <f t="shared" si="0"/>
        <v>2421785.7000000002</v>
      </c>
      <c r="F18">
        <f t="shared" si="1"/>
        <v>808324.9</v>
      </c>
      <c r="G18">
        <f t="shared" si="2"/>
        <v>146.80000000000001</v>
      </c>
      <c r="H18">
        <f t="shared" si="3"/>
        <v>85.7</v>
      </c>
      <c r="I18">
        <f t="shared" si="4"/>
        <v>154.28299999999999</v>
      </c>
      <c r="J18">
        <v>350</v>
      </c>
      <c r="K18">
        <v>357</v>
      </c>
      <c r="L18">
        <v>19</v>
      </c>
      <c r="M18">
        <v>19</v>
      </c>
      <c r="N18">
        <v>13</v>
      </c>
    </row>
    <row r="19" spans="1:14" x14ac:dyDescent="0.3">
      <c r="A19" t="s">
        <v>144</v>
      </c>
      <c r="B19">
        <v>17888</v>
      </c>
      <c r="C19">
        <v>490892300</v>
      </c>
      <c r="D19">
        <v>162596860</v>
      </c>
      <c r="E19">
        <f t="shared" si="0"/>
        <v>2530372.7000000002</v>
      </c>
      <c r="F19">
        <f t="shared" si="1"/>
        <v>808939.6</v>
      </c>
      <c r="G19">
        <f t="shared" si="2"/>
        <v>165.7</v>
      </c>
      <c r="H19">
        <f t="shared" si="3"/>
        <v>95.3</v>
      </c>
      <c r="I19">
        <f t="shared" si="4"/>
        <v>140.42099999999999</v>
      </c>
      <c r="J19">
        <v>388</v>
      </c>
      <c r="K19">
        <v>402</v>
      </c>
      <c r="L19">
        <v>15</v>
      </c>
      <c r="M19">
        <v>15</v>
      </c>
      <c r="N19">
        <v>22</v>
      </c>
    </row>
    <row r="20" spans="1:14" x14ac:dyDescent="0.3">
      <c r="A20" t="s">
        <v>145</v>
      </c>
      <c r="B20">
        <v>18724</v>
      </c>
      <c r="C20">
        <v>562693690</v>
      </c>
      <c r="D20">
        <v>189236720</v>
      </c>
      <c r="E20">
        <f t="shared" si="0"/>
        <v>2856313.1</v>
      </c>
      <c r="F20">
        <f t="shared" si="1"/>
        <v>950938.3</v>
      </c>
      <c r="G20">
        <f t="shared" si="2"/>
        <v>173.4</v>
      </c>
      <c r="H20">
        <f t="shared" si="3"/>
        <v>100.5</v>
      </c>
      <c r="I20">
        <f t="shared" si="4"/>
        <v>146.983</v>
      </c>
      <c r="J20">
        <v>394</v>
      </c>
      <c r="K20">
        <v>398</v>
      </c>
      <c r="L20">
        <v>11</v>
      </c>
      <c r="M20">
        <v>18</v>
      </c>
      <c r="N20">
        <v>22</v>
      </c>
    </row>
    <row r="21" spans="1:14" x14ac:dyDescent="0.3">
      <c r="A21" t="s">
        <v>146</v>
      </c>
      <c r="B21">
        <v>21482</v>
      </c>
      <c r="C21">
        <v>598372100</v>
      </c>
      <c r="D21">
        <v>199567050</v>
      </c>
      <c r="E21">
        <f t="shared" si="0"/>
        <v>3037421.8</v>
      </c>
      <c r="F21">
        <f t="shared" si="1"/>
        <v>985516.3</v>
      </c>
      <c r="G21">
        <f t="shared" si="2"/>
        <v>166.9</v>
      </c>
      <c r="H21">
        <f t="shared" si="3"/>
        <v>96.4</v>
      </c>
      <c r="I21">
        <f t="shared" si="4"/>
        <v>168.63399999999999</v>
      </c>
      <c r="J21">
        <v>394</v>
      </c>
      <c r="K21">
        <v>405</v>
      </c>
      <c r="L21">
        <v>18</v>
      </c>
      <c r="M21">
        <v>18</v>
      </c>
      <c r="N21">
        <v>22</v>
      </c>
    </row>
    <row r="22" spans="1:14" x14ac:dyDescent="0.3">
      <c r="A22" t="s">
        <v>0</v>
      </c>
      <c r="B22">
        <v>21912</v>
      </c>
      <c r="C22">
        <v>667454720</v>
      </c>
      <c r="D22">
        <v>224138480</v>
      </c>
      <c r="E22">
        <f t="shared" si="0"/>
        <v>3337273.6</v>
      </c>
      <c r="F22">
        <f t="shared" si="1"/>
        <v>1120692.3999999999</v>
      </c>
      <c r="G22">
        <f t="shared" si="2"/>
        <v>174.5</v>
      </c>
      <c r="H22">
        <f t="shared" si="3"/>
        <v>101.1</v>
      </c>
      <c r="I22">
        <f t="shared" si="4"/>
        <v>172.00899999999999</v>
      </c>
      <c r="J22">
        <v>400</v>
      </c>
      <c r="K22">
        <v>400</v>
      </c>
      <c r="L22">
        <v>13</v>
      </c>
      <c r="M22">
        <v>21</v>
      </c>
      <c r="N22">
        <v>22</v>
      </c>
    </row>
    <row r="23" spans="1:14" x14ac:dyDescent="0.3">
      <c r="A23" t="s">
        <v>147</v>
      </c>
      <c r="B23">
        <v>25112</v>
      </c>
      <c r="C23">
        <v>710121390</v>
      </c>
      <c r="D23">
        <v>238110160</v>
      </c>
      <c r="E23">
        <f t="shared" si="0"/>
        <v>3550607</v>
      </c>
      <c r="F23">
        <f t="shared" si="1"/>
        <v>1167206.7</v>
      </c>
      <c r="G23">
        <f t="shared" si="2"/>
        <v>168.2</v>
      </c>
      <c r="H23">
        <f t="shared" si="3"/>
        <v>97.4</v>
      </c>
      <c r="I23">
        <f t="shared" si="4"/>
        <v>197.12899999999999</v>
      </c>
      <c r="J23">
        <v>400</v>
      </c>
      <c r="K23">
        <v>408</v>
      </c>
      <c r="L23">
        <v>21</v>
      </c>
      <c r="M23">
        <v>21</v>
      </c>
      <c r="N23">
        <v>22</v>
      </c>
    </row>
    <row r="24" spans="1:14" x14ac:dyDescent="0.3">
      <c r="A24" t="s">
        <v>148</v>
      </c>
      <c r="B24">
        <v>29582</v>
      </c>
      <c r="C24">
        <v>928952000</v>
      </c>
      <c r="D24">
        <v>310283920</v>
      </c>
      <c r="E24">
        <f t="shared" si="0"/>
        <v>4487690.8</v>
      </c>
      <c r="F24">
        <f t="shared" si="1"/>
        <v>1532266.3</v>
      </c>
      <c r="G24">
        <f t="shared" si="2"/>
        <v>177.2</v>
      </c>
      <c r="H24">
        <f t="shared" si="3"/>
        <v>102.4</v>
      </c>
      <c r="I24">
        <f t="shared" si="4"/>
        <v>232.21899999999999</v>
      </c>
      <c r="J24">
        <v>414</v>
      </c>
      <c r="K24">
        <v>405</v>
      </c>
      <c r="L24">
        <v>18</v>
      </c>
      <c r="M24">
        <v>28</v>
      </c>
      <c r="N24">
        <v>22</v>
      </c>
    </row>
    <row r="25" spans="1:14" x14ac:dyDescent="0.3">
      <c r="A25" t="s">
        <v>149</v>
      </c>
      <c r="B25">
        <v>36108</v>
      </c>
      <c r="C25">
        <v>1193281400</v>
      </c>
      <c r="D25">
        <v>393633190</v>
      </c>
      <c r="E25">
        <f t="shared" si="0"/>
        <v>5576081.2999999998</v>
      </c>
      <c r="F25">
        <f t="shared" si="1"/>
        <v>1934315.4</v>
      </c>
      <c r="G25">
        <f t="shared" si="2"/>
        <v>181.8</v>
      </c>
      <c r="H25">
        <f t="shared" si="3"/>
        <v>104.4</v>
      </c>
      <c r="I25">
        <f t="shared" si="4"/>
        <v>283.44799999999998</v>
      </c>
      <c r="J25">
        <v>428</v>
      </c>
      <c r="K25">
        <v>407</v>
      </c>
      <c r="L25">
        <v>20</v>
      </c>
      <c r="M25">
        <v>35</v>
      </c>
      <c r="N25">
        <v>22</v>
      </c>
    </row>
    <row r="26" spans="1:14" x14ac:dyDescent="0.3">
      <c r="A26" t="s">
        <v>150</v>
      </c>
      <c r="B26">
        <v>52898</v>
      </c>
      <c r="C26">
        <v>1872620300</v>
      </c>
      <c r="D26">
        <v>605267220</v>
      </c>
      <c r="E26">
        <f t="shared" si="0"/>
        <v>8177381.2000000002</v>
      </c>
      <c r="F26">
        <f t="shared" si="1"/>
        <v>2902960.3</v>
      </c>
      <c r="G26">
        <f t="shared" si="2"/>
        <v>188.2</v>
      </c>
      <c r="H26">
        <f t="shared" si="3"/>
        <v>107</v>
      </c>
      <c r="I26">
        <f t="shared" si="4"/>
        <v>415.24900000000002</v>
      </c>
      <c r="J26">
        <v>458</v>
      </c>
      <c r="K26">
        <v>417</v>
      </c>
      <c r="L26">
        <v>30</v>
      </c>
      <c r="M26">
        <v>50</v>
      </c>
      <c r="N26">
        <v>22</v>
      </c>
    </row>
    <row r="27" spans="1:14" x14ac:dyDescent="0.3">
      <c r="A27" t="s">
        <v>151</v>
      </c>
      <c r="B27">
        <v>77048</v>
      </c>
      <c r="C27">
        <v>2980337100</v>
      </c>
      <c r="D27">
        <v>943665780</v>
      </c>
      <c r="E27">
        <f t="shared" si="0"/>
        <v>11969225.300000001</v>
      </c>
      <c r="F27">
        <f t="shared" si="1"/>
        <v>4368823.0999999996</v>
      </c>
      <c r="G27">
        <f t="shared" si="2"/>
        <v>196.7</v>
      </c>
      <c r="H27">
        <f t="shared" si="3"/>
        <v>110.7</v>
      </c>
      <c r="I27">
        <f t="shared" si="4"/>
        <v>604.827</v>
      </c>
      <c r="J27">
        <v>498</v>
      </c>
      <c r="K27">
        <v>432</v>
      </c>
      <c r="L27">
        <v>45</v>
      </c>
      <c r="M27">
        <v>70</v>
      </c>
      <c r="N27">
        <v>22</v>
      </c>
    </row>
    <row r="28" spans="1:14" x14ac:dyDescent="0.3">
      <c r="A28" t="s">
        <v>152</v>
      </c>
      <c r="B28">
        <v>25838</v>
      </c>
      <c r="C28">
        <v>1174329200</v>
      </c>
      <c r="D28">
        <v>335360020</v>
      </c>
      <c r="E28">
        <f t="shared" si="0"/>
        <v>4773695.9000000004</v>
      </c>
      <c r="F28">
        <f t="shared" si="1"/>
        <v>1442408.7</v>
      </c>
      <c r="G28">
        <f t="shared" si="2"/>
        <v>213.2</v>
      </c>
      <c r="H28">
        <f t="shared" si="3"/>
        <v>113.9</v>
      </c>
      <c r="I28">
        <f t="shared" si="4"/>
        <v>202.828</v>
      </c>
      <c r="J28">
        <v>492</v>
      </c>
      <c r="K28">
        <v>465</v>
      </c>
      <c r="L28">
        <v>15</v>
      </c>
      <c r="M28">
        <v>20</v>
      </c>
      <c r="N28">
        <v>22</v>
      </c>
    </row>
    <row r="29" spans="1:14" x14ac:dyDescent="0.3">
      <c r="A29" t="s">
        <v>153</v>
      </c>
      <c r="B29">
        <v>30488</v>
      </c>
      <c r="C29">
        <v>1461486800</v>
      </c>
      <c r="D29">
        <v>419147210</v>
      </c>
      <c r="E29">
        <f t="shared" si="0"/>
        <v>5822656.5999999996</v>
      </c>
      <c r="F29">
        <f t="shared" si="1"/>
        <v>1802783.7</v>
      </c>
      <c r="G29">
        <f t="shared" si="2"/>
        <v>218.9</v>
      </c>
      <c r="H29">
        <f t="shared" si="3"/>
        <v>117.3</v>
      </c>
      <c r="I29">
        <f t="shared" si="4"/>
        <v>239.33099999999999</v>
      </c>
      <c r="J29">
        <v>502</v>
      </c>
      <c r="K29">
        <v>465</v>
      </c>
      <c r="L29">
        <v>15</v>
      </c>
      <c r="M29">
        <v>25</v>
      </c>
      <c r="N29">
        <v>22</v>
      </c>
    </row>
    <row r="30" spans="1:14" x14ac:dyDescent="0.3">
      <c r="A30" t="s">
        <v>154</v>
      </c>
      <c r="B30">
        <v>32998</v>
      </c>
      <c r="C30">
        <v>1514197700</v>
      </c>
      <c r="D30">
        <v>433013350</v>
      </c>
      <c r="E30">
        <f t="shared" si="0"/>
        <v>6032660.2000000002</v>
      </c>
      <c r="F30">
        <f t="shared" si="1"/>
        <v>1842610</v>
      </c>
      <c r="G30">
        <f t="shared" si="2"/>
        <v>214.2</v>
      </c>
      <c r="H30">
        <f t="shared" si="3"/>
        <v>114.6</v>
      </c>
      <c r="I30">
        <f t="shared" si="4"/>
        <v>259.03399999999999</v>
      </c>
      <c r="J30">
        <v>502</v>
      </c>
      <c r="K30">
        <v>470</v>
      </c>
      <c r="L30">
        <v>20</v>
      </c>
      <c r="M30">
        <v>25</v>
      </c>
      <c r="N30">
        <v>22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C6F96-D91C-47D2-97DB-3B46E2C293FA}">
  <dimension ref="A1:O30"/>
  <sheetViews>
    <sheetView workbookViewId="0">
      <selection activeCell="O1" sqref="O1"/>
    </sheetView>
  </sheetViews>
  <sheetFormatPr defaultRowHeight="14" x14ac:dyDescent="0.3"/>
  <cols>
    <col min="1" max="1" width="12.75" customWidth="1"/>
    <col min="3" max="4" width="12.75" customWidth="1"/>
  </cols>
  <sheetData>
    <row r="1" spans="1:15" x14ac:dyDescent="0.3">
      <c r="A1" s="2" t="s">
        <v>96</v>
      </c>
      <c r="B1" s="3" t="s">
        <v>97</v>
      </c>
      <c r="C1" s="3" t="s">
        <v>114</v>
      </c>
      <c r="D1" s="3" t="s">
        <v>116</v>
      </c>
      <c r="E1" s="3" t="s">
        <v>118</v>
      </c>
      <c r="F1" s="3" t="s">
        <v>124</v>
      </c>
      <c r="G1" s="3" t="s">
        <v>120</v>
      </c>
      <c r="H1" s="3" t="s">
        <v>122</v>
      </c>
      <c r="I1" s="3" t="s">
        <v>126</v>
      </c>
      <c r="J1" s="3" t="s">
        <v>103</v>
      </c>
      <c r="K1" s="3" t="s">
        <v>104</v>
      </c>
      <c r="L1" s="3" t="s">
        <v>105</v>
      </c>
      <c r="M1" s="3" t="s">
        <v>111</v>
      </c>
      <c r="N1" s="3" t="s">
        <v>108</v>
      </c>
      <c r="O1" s="3" t="s">
        <v>112</v>
      </c>
    </row>
    <row r="2" spans="1:15" x14ac:dyDescent="0.3">
      <c r="A2" t="str">
        <f>"2"&amp;HW!A2</f>
        <v>2HW100X100</v>
      </c>
      <c r="B2">
        <f>2*HW!B2</f>
        <v>4329.2</v>
      </c>
      <c r="C2">
        <f>2*HW!C2</f>
        <v>7576041.4000000004</v>
      </c>
      <c r="D2">
        <f>ROUND(2*HW!D2+HW!B2*HW!K2^2/2,1)</f>
        <v>13495948.4</v>
      </c>
      <c r="E2">
        <f>ROUND(C2/J2*2,1)</f>
        <v>151520.79999999999</v>
      </c>
      <c r="F2">
        <f>ROUND(D2/K2*2,1)</f>
        <v>134959.5</v>
      </c>
      <c r="G2">
        <f>ROUND((C2/B2)^0.5,1)</f>
        <v>41.8</v>
      </c>
      <c r="H2">
        <f>ROUND((D2/B2)^0.5,1)</f>
        <v>55.8</v>
      </c>
      <c r="I2">
        <f>ROUND(0.00785*B2,3)</f>
        <v>33.984000000000002</v>
      </c>
      <c r="J2">
        <f>HW!J2</f>
        <v>100</v>
      </c>
      <c r="K2">
        <f>2*HW!K2</f>
        <v>200</v>
      </c>
      <c r="L2">
        <f>HW!L2</f>
        <v>6</v>
      </c>
      <c r="M2">
        <f>HW!M2</f>
        <v>8</v>
      </c>
      <c r="N2">
        <f>HW!K2</f>
        <v>100</v>
      </c>
      <c r="O2">
        <f>M2</f>
        <v>8</v>
      </c>
    </row>
    <row r="3" spans="1:15" x14ac:dyDescent="0.3">
      <c r="A3" t="str">
        <f>"2"&amp;HW!A3</f>
        <v>2HW125X125</v>
      </c>
      <c r="B3">
        <f>2*HW!B3</f>
        <v>6012.2</v>
      </c>
      <c r="C3">
        <f>2*HW!C3</f>
        <v>16818299.600000001</v>
      </c>
      <c r="D3">
        <f>ROUND(2*HW!D3+HW!B3*HW!K3^2/2,1)</f>
        <v>29352991.300000001</v>
      </c>
      <c r="E3">
        <f t="shared" ref="E3:E30" si="0">ROUND(C3/J3*2,1)</f>
        <v>269092.8</v>
      </c>
      <c r="F3">
        <f t="shared" ref="F3:F30" si="1">ROUND(D3/K3*2,1)</f>
        <v>234823.9</v>
      </c>
      <c r="G3">
        <f t="shared" ref="G3:G30" si="2">ROUND((C3/B3)^0.5,1)</f>
        <v>52.9</v>
      </c>
      <c r="H3">
        <f t="shared" ref="H3:H30" si="3">ROUND((D3/B3)^0.5,1)</f>
        <v>69.900000000000006</v>
      </c>
      <c r="I3">
        <f t="shared" ref="I3:I30" si="4">ROUND(0.00785*B3,3)</f>
        <v>47.195999999999998</v>
      </c>
      <c r="J3">
        <f>HW!J3</f>
        <v>125</v>
      </c>
      <c r="K3">
        <f>2*HW!K3</f>
        <v>250</v>
      </c>
      <c r="L3">
        <f>HW!L3</f>
        <v>6.5</v>
      </c>
      <c r="M3">
        <f>HW!M3</f>
        <v>9</v>
      </c>
      <c r="N3">
        <f>HW!K3</f>
        <v>125</v>
      </c>
      <c r="O3">
        <f t="shared" ref="O3:O30" si="5">M3</f>
        <v>9</v>
      </c>
    </row>
    <row r="4" spans="1:15" x14ac:dyDescent="0.3">
      <c r="A4" t="str">
        <f>"2"&amp;HW!A4</f>
        <v>2HW150X150</v>
      </c>
      <c r="B4">
        <f>2*HW!B4</f>
        <v>7941.2</v>
      </c>
      <c r="C4">
        <f>2*HW!C4</f>
        <v>32495724</v>
      </c>
      <c r="D4">
        <f>ROUND(2*HW!D4+HW!B4*HW!K4^2/2,1)</f>
        <v>55930564</v>
      </c>
      <c r="E4">
        <f t="shared" si="0"/>
        <v>433276.3</v>
      </c>
      <c r="F4">
        <f t="shared" si="1"/>
        <v>372870.40000000002</v>
      </c>
      <c r="G4">
        <f t="shared" si="2"/>
        <v>64</v>
      </c>
      <c r="H4">
        <f t="shared" si="3"/>
        <v>83.9</v>
      </c>
      <c r="I4">
        <f t="shared" si="4"/>
        <v>62.338000000000001</v>
      </c>
      <c r="J4">
        <f>HW!J4</f>
        <v>150</v>
      </c>
      <c r="K4">
        <f>2*HW!K4</f>
        <v>300</v>
      </c>
      <c r="L4">
        <f>HW!L4</f>
        <v>7</v>
      </c>
      <c r="M4">
        <f>HW!M4</f>
        <v>10</v>
      </c>
      <c r="N4">
        <f>HW!K4</f>
        <v>150</v>
      </c>
      <c r="O4">
        <f t="shared" si="5"/>
        <v>10</v>
      </c>
    </row>
    <row r="5" spans="1:15" x14ac:dyDescent="0.3">
      <c r="A5" t="str">
        <f>"2"&amp;HW!A5</f>
        <v>2HW175X175</v>
      </c>
      <c r="B5">
        <f>2*HW!B5</f>
        <v>10314.799999999999</v>
      </c>
      <c r="C5">
        <f>2*HW!C5</f>
        <v>58055256</v>
      </c>
      <c r="D5">
        <f>ROUND(2*HW!D5+HW!B5*HW!K5^2/2,1)</f>
        <v>98651870.900000006</v>
      </c>
      <c r="E5">
        <f t="shared" si="0"/>
        <v>663488.6</v>
      </c>
      <c r="F5">
        <f t="shared" si="1"/>
        <v>563725</v>
      </c>
      <c r="G5">
        <f t="shared" si="2"/>
        <v>75</v>
      </c>
      <c r="H5">
        <f t="shared" si="3"/>
        <v>97.8</v>
      </c>
      <c r="I5">
        <f t="shared" si="4"/>
        <v>80.971000000000004</v>
      </c>
      <c r="J5">
        <f>HW!J5</f>
        <v>175</v>
      </c>
      <c r="K5">
        <f>2*HW!K5</f>
        <v>350</v>
      </c>
      <c r="L5">
        <f>HW!L5</f>
        <v>7.5</v>
      </c>
      <c r="M5">
        <f>HW!M5</f>
        <v>11</v>
      </c>
      <c r="N5">
        <f>HW!K5</f>
        <v>175</v>
      </c>
      <c r="O5">
        <f t="shared" si="5"/>
        <v>11</v>
      </c>
    </row>
    <row r="6" spans="1:15" x14ac:dyDescent="0.3">
      <c r="A6" t="str">
        <f>"2"&amp;HW!A6</f>
        <v>2HW200X200</v>
      </c>
      <c r="B6">
        <f>2*HW!B6</f>
        <v>12735.8</v>
      </c>
      <c r="C6">
        <f>2*HW!C6</f>
        <v>94517998</v>
      </c>
      <c r="D6">
        <f>ROUND(2*HW!D6+HW!B6*HW!K6^2/2,1)</f>
        <v>159391518</v>
      </c>
      <c r="E6">
        <f t="shared" si="0"/>
        <v>945180</v>
      </c>
      <c r="F6">
        <f t="shared" si="1"/>
        <v>796957.6</v>
      </c>
      <c r="G6">
        <f t="shared" si="2"/>
        <v>86.1</v>
      </c>
      <c r="H6">
        <f t="shared" si="3"/>
        <v>111.9</v>
      </c>
      <c r="I6">
        <f t="shared" si="4"/>
        <v>99.975999999999999</v>
      </c>
      <c r="J6">
        <f>HW!J6</f>
        <v>200</v>
      </c>
      <c r="K6">
        <f>2*HW!K6</f>
        <v>400</v>
      </c>
      <c r="L6">
        <f>HW!L6</f>
        <v>8</v>
      </c>
      <c r="M6">
        <f>HW!M6</f>
        <v>12</v>
      </c>
      <c r="N6">
        <f>HW!K6</f>
        <v>200</v>
      </c>
      <c r="O6">
        <f t="shared" si="5"/>
        <v>12</v>
      </c>
    </row>
    <row r="7" spans="1:15" x14ac:dyDescent="0.3">
      <c r="A7" t="str">
        <f>"2"&amp;HW!A7</f>
        <v>2HW200X204</v>
      </c>
      <c r="B7">
        <f>2*HW!B7</f>
        <v>14335.8</v>
      </c>
      <c r="C7">
        <f>2*HW!C7</f>
        <v>99851332</v>
      </c>
      <c r="D7">
        <f>ROUND(2*HW!D7+HW!B7*HW!K7^2/2,1)</f>
        <v>183187865.19999999</v>
      </c>
      <c r="E7">
        <f t="shared" si="0"/>
        <v>998513.3</v>
      </c>
      <c r="F7">
        <f t="shared" si="1"/>
        <v>897979.7</v>
      </c>
      <c r="G7">
        <f t="shared" si="2"/>
        <v>83.5</v>
      </c>
      <c r="H7">
        <f t="shared" si="3"/>
        <v>113</v>
      </c>
      <c r="I7">
        <f t="shared" si="4"/>
        <v>112.536</v>
      </c>
      <c r="J7">
        <f>HW!J7</f>
        <v>200</v>
      </c>
      <c r="K7">
        <f>2*HW!K7</f>
        <v>408</v>
      </c>
      <c r="L7">
        <f>HW!L7</f>
        <v>12</v>
      </c>
      <c r="M7">
        <f>HW!M7</f>
        <v>12</v>
      </c>
      <c r="N7">
        <f>HW!K7</f>
        <v>204</v>
      </c>
      <c r="O7">
        <f t="shared" si="5"/>
        <v>12</v>
      </c>
    </row>
    <row r="8" spans="1:15" x14ac:dyDescent="0.3">
      <c r="A8" t="str">
        <f>"2"&amp;HW!A8</f>
        <v>2HW244X252</v>
      </c>
      <c r="B8">
        <f>2*HW!B8</f>
        <v>16291.8</v>
      </c>
      <c r="C8">
        <f>2*HW!C8</f>
        <v>174386118</v>
      </c>
      <c r="D8">
        <f>ROUND(2*HW!D8+HW!B8*HW!K8^2/2,1)</f>
        <v>317401588.80000001</v>
      </c>
      <c r="E8">
        <f t="shared" si="0"/>
        <v>1429394.4</v>
      </c>
      <c r="F8">
        <f t="shared" si="1"/>
        <v>1259530.1000000001</v>
      </c>
      <c r="G8">
        <f t="shared" si="2"/>
        <v>103.5</v>
      </c>
      <c r="H8">
        <f t="shared" si="3"/>
        <v>139.6</v>
      </c>
      <c r="I8">
        <f t="shared" si="4"/>
        <v>127.89100000000001</v>
      </c>
      <c r="J8">
        <f>HW!J8</f>
        <v>244</v>
      </c>
      <c r="K8">
        <f>2*HW!K8</f>
        <v>504</v>
      </c>
      <c r="L8">
        <f>HW!L8</f>
        <v>11</v>
      </c>
      <c r="M8">
        <f>HW!M8</f>
        <v>11</v>
      </c>
      <c r="N8">
        <f>HW!K8</f>
        <v>252</v>
      </c>
      <c r="O8">
        <f t="shared" si="5"/>
        <v>11</v>
      </c>
    </row>
    <row r="9" spans="1:15" x14ac:dyDescent="0.3">
      <c r="A9" t="str">
        <f>"2"&amp;HW!A9</f>
        <v>2HW250X250</v>
      </c>
      <c r="B9">
        <f>2*HW!B9</f>
        <v>18315.8</v>
      </c>
      <c r="C9">
        <f>2*HW!C9</f>
        <v>215302860</v>
      </c>
      <c r="D9">
        <f>ROUND(2*HW!D9+HW!B9*HW!K9^2/2,1)</f>
        <v>359148863</v>
      </c>
      <c r="E9">
        <f t="shared" si="0"/>
        <v>1722422.9</v>
      </c>
      <c r="F9">
        <f t="shared" si="1"/>
        <v>1436595.5</v>
      </c>
      <c r="G9">
        <f t="shared" si="2"/>
        <v>108.4</v>
      </c>
      <c r="H9">
        <f t="shared" si="3"/>
        <v>140</v>
      </c>
      <c r="I9">
        <f t="shared" si="4"/>
        <v>143.779</v>
      </c>
      <c r="J9">
        <f>HW!J9</f>
        <v>250</v>
      </c>
      <c r="K9">
        <f>2*HW!K9</f>
        <v>500</v>
      </c>
      <c r="L9">
        <f>HW!L9</f>
        <v>9</v>
      </c>
      <c r="M9">
        <f>HW!M9</f>
        <v>14</v>
      </c>
      <c r="N9">
        <f>HW!K9</f>
        <v>250</v>
      </c>
      <c r="O9">
        <f t="shared" si="5"/>
        <v>14</v>
      </c>
    </row>
    <row r="10" spans="1:15" x14ac:dyDescent="0.3">
      <c r="A10" t="str">
        <f>"2"&amp;HW!A10</f>
        <v>2HW250X255</v>
      </c>
      <c r="B10">
        <f>2*HW!B10</f>
        <v>20815.8</v>
      </c>
      <c r="C10">
        <f>2*HW!C10</f>
        <v>228323680</v>
      </c>
      <c r="D10">
        <f>ROUND(2*HW!D10+HW!B10*HW!K10^2/2,1)</f>
        <v>415903122.80000001</v>
      </c>
      <c r="E10">
        <f t="shared" si="0"/>
        <v>1826589.4</v>
      </c>
      <c r="F10">
        <f t="shared" si="1"/>
        <v>1630992.6</v>
      </c>
      <c r="G10">
        <f t="shared" si="2"/>
        <v>104.7</v>
      </c>
      <c r="H10">
        <f t="shared" si="3"/>
        <v>141.4</v>
      </c>
      <c r="I10">
        <f t="shared" si="4"/>
        <v>163.404</v>
      </c>
      <c r="J10">
        <f>HW!J10</f>
        <v>250</v>
      </c>
      <c r="K10">
        <f>2*HW!K10</f>
        <v>510</v>
      </c>
      <c r="L10">
        <f>HW!L10</f>
        <v>14</v>
      </c>
      <c r="M10">
        <f>HW!M10</f>
        <v>14</v>
      </c>
      <c r="N10">
        <f>HW!K10</f>
        <v>255</v>
      </c>
      <c r="O10">
        <f t="shared" si="5"/>
        <v>14</v>
      </c>
    </row>
    <row r="11" spans="1:15" x14ac:dyDescent="0.3">
      <c r="A11" t="str">
        <f>"2"&amp;HW!A11</f>
        <v>2HW294X302</v>
      </c>
      <c r="B11">
        <f>2*HW!B11</f>
        <v>21295.8</v>
      </c>
      <c r="C11">
        <f>2*HW!C11</f>
        <v>333302480</v>
      </c>
      <c r="D11">
        <f>ROUND(2*HW!D11+HW!B11*HW!K11^2/2,1)</f>
        <v>595846585.79999995</v>
      </c>
      <c r="E11">
        <f t="shared" si="0"/>
        <v>2267363.7999999998</v>
      </c>
      <c r="F11">
        <f t="shared" si="1"/>
        <v>1973001.9</v>
      </c>
      <c r="G11">
        <f t="shared" si="2"/>
        <v>125.1</v>
      </c>
      <c r="H11">
        <f t="shared" si="3"/>
        <v>167.3</v>
      </c>
      <c r="I11">
        <f t="shared" si="4"/>
        <v>167.172</v>
      </c>
      <c r="J11">
        <f>HW!J11</f>
        <v>294</v>
      </c>
      <c r="K11">
        <f>2*HW!K11</f>
        <v>604</v>
      </c>
      <c r="L11">
        <f>HW!L11</f>
        <v>12</v>
      </c>
      <c r="M11">
        <f>HW!M11</f>
        <v>12</v>
      </c>
      <c r="N11">
        <f>HW!K11</f>
        <v>302</v>
      </c>
      <c r="O11">
        <f t="shared" si="5"/>
        <v>12</v>
      </c>
    </row>
    <row r="12" spans="1:15" x14ac:dyDescent="0.3">
      <c r="A12" t="str">
        <f>"2"&amp;HW!A12</f>
        <v>2HW300X300</v>
      </c>
      <c r="B12">
        <f>2*HW!B12</f>
        <v>23719.8</v>
      </c>
      <c r="C12">
        <f>2*HW!C12</f>
        <v>404222540</v>
      </c>
      <c r="D12">
        <f>ROUND(2*HW!D12+HW!B12*HW!K12^2/2,1)</f>
        <v>668763858</v>
      </c>
      <c r="E12">
        <f t="shared" si="0"/>
        <v>2694816.9</v>
      </c>
      <c r="F12">
        <f t="shared" si="1"/>
        <v>2229212.9</v>
      </c>
      <c r="G12">
        <f t="shared" si="2"/>
        <v>130.5</v>
      </c>
      <c r="H12">
        <f t="shared" si="3"/>
        <v>167.9</v>
      </c>
      <c r="I12">
        <f t="shared" si="4"/>
        <v>186.2</v>
      </c>
      <c r="J12">
        <f>HW!J12</f>
        <v>300</v>
      </c>
      <c r="K12">
        <f>2*HW!K12</f>
        <v>600</v>
      </c>
      <c r="L12">
        <f>HW!L12</f>
        <v>10</v>
      </c>
      <c r="M12">
        <f>HW!M12</f>
        <v>15</v>
      </c>
      <c r="N12">
        <f>HW!K12</f>
        <v>300</v>
      </c>
      <c r="O12">
        <f t="shared" si="5"/>
        <v>15</v>
      </c>
    </row>
    <row r="13" spans="1:15" x14ac:dyDescent="0.3">
      <c r="A13" t="str">
        <f>"2"&amp;HW!A13</f>
        <v>2HW300X305</v>
      </c>
      <c r="B13">
        <f>2*HW!B13</f>
        <v>26719.8</v>
      </c>
      <c r="C13">
        <f>2*HW!C13</f>
        <v>426722540</v>
      </c>
      <c r="D13">
        <f>ROUND(2*HW!D13+HW!B13*HW!K13^2/2,1)</f>
        <v>763455654.79999995</v>
      </c>
      <c r="E13">
        <f t="shared" si="0"/>
        <v>2844816.9</v>
      </c>
      <c r="F13">
        <f t="shared" si="1"/>
        <v>2503133.2999999998</v>
      </c>
      <c r="G13">
        <f t="shared" si="2"/>
        <v>126.4</v>
      </c>
      <c r="H13">
        <f t="shared" si="3"/>
        <v>169</v>
      </c>
      <c r="I13">
        <f t="shared" si="4"/>
        <v>209.75</v>
      </c>
      <c r="J13">
        <f>HW!J13</f>
        <v>300</v>
      </c>
      <c r="K13">
        <f>2*HW!K13</f>
        <v>610</v>
      </c>
      <c r="L13">
        <f>HW!L13</f>
        <v>15</v>
      </c>
      <c r="M13">
        <f>HW!M13</f>
        <v>15</v>
      </c>
      <c r="N13">
        <f>HW!K13</f>
        <v>305</v>
      </c>
      <c r="O13">
        <f t="shared" si="5"/>
        <v>15</v>
      </c>
    </row>
    <row r="14" spans="1:15" x14ac:dyDescent="0.3">
      <c r="A14" t="str">
        <f>"2"&amp;HW!A14</f>
        <v>2HW338X351</v>
      </c>
      <c r="B14">
        <f>2*HW!B14</f>
        <v>26683.8</v>
      </c>
      <c r="C14">
        <f>2*HW!C14</f>
        <v>555509100</v>
      </c>
      <c r="D14">
        <f>ROUND(2*HW!D14+HW!B14*HW!K14^2/2,1)</f>
        <v>1009402523</v>
      </c>
      <c r="E14">
        <f t="shared" si="0"/>
        <v>3287036.1</v>
      </c>
      <c r="F14">
        <f t="shared" si="1"/>
        <v>2875790.7</v>
      </c>
      <c r="G14">
        <f t="shared" si="2"/>
        <v>144.30000000000001</v>
      </c>
      <c r="H14">
        <f t="shared" si="3"/>
        <v>194.5</v>
      </c>
      <c r="I14">
        <f t="shared" si="4"/>
        <v>209.46799999999999</v>
      </c>
      <c r="J14">
        <f>HW!J14</f>
        <v>338</v>
      </c>
      <c r="K14">
        <f>2*HW!K14</f>
        <v>702</v>
      </c>
      <c r="L14">
        <f>HW!L14</f>
        <v>13</v>
      </c>
      <c r="M14">
        <f>HW!M14</f>
        <v>13</v>
      </c>
      <c r="N14">
        <f>HW!K14</f>
        <v>351</v>
      </c>
      <c r="O14">
        <f t="shared" si="5"/>
        <v>13</v>
      </c>
    </row>
    <row r="15" spans="1:15" x14ac:dyDescent="0.3">
      <c r="A15" t="str">
        <f>"2"&amp;HW!A15</f>
        <v>2HW344X348</v>
      </c>
      <c r="B15">
        <f>2*HW!B15</f>
        <v>28831.8</v>
      </c>
      <c r="C15">
        <f>2*HW!C15</f>
        <v>657602360</v>
      </c>
      <c r="D15">
        <f>ROUND(2*HW!D15+HW!B15*HW!K15^2/2,1)</f>
        <v>1097755956.8</v>
      </c>
      <c r="E15">
        <f t="shared" si="0"/>
        <v>3823269.5</v>
      </c>
      <c r="F15">
        <f t="shared" si="1"/>
        <v>3154471.1</v>
      </c>
      <c r="G15">
        <f t="shared" si="2"/>
        <v>151</v>
      </c>
      <c r="H15">
        <f t="shared" si="3"/>
        <v>195.1</v>
      </c>
      <c r="I15">
        <f t="shared" si="4"/>
        <v>226.33</v>
      </c>
      <c r="J15">
        <f>HW!J15</f>
        <v>344</v>
      </c>
      <c r="K15">
        <f>2*HW!K15</f>
        <v>696</v>
      </c>
      <c r="L15">
        <f>HW!L15</f>
        <v>10</v>
      </c>
      <c r="M15">
        <f>HW!M15</f>
        <v>16</v>
      </c>
      <c r="N15">
        <f>HW!K15</f>
        <v>348</v>
      </c>
      <c r="O15">
        <f t="shared" si="5"/>
        <v>16</v>
      </c>
    </row>
    <row r="16" spans="1:15" x14ac:dyDescent="0.3">
      <c r="A16" t="str">
        <f>"2"&amp;HW!A16</f>
        <v>2HW344X354</v>
      </c>
      <c r="B16">
        <f>2*HW!B16</f>
        <v>32959.800000000003</v>
      </c>
      <c r="C16">
        <f>2*HW!C16</f>
        <v>698309940</v>
      </c>
      <c r="D16">
        <f>ROUND(2*HW!D16+HW!B16*HW!K16^2/2,1)</f>
        <v>1269448954.2</v>
      </c>
      <c r="E16">
        <f t="shared" si="0"/>
        <v>4059941.5</v>
      </c>
      <c r="F16">
        <f t="shared" si="1"/>
        <v>3586014</v>
      </c>
      <c r="G16">
        <f t="shared" si="2"/>
        <v>145.6</v>
      </c>
      <c r="H16">
        <f t="shared" si="3"/>
        <v>196.3</v>
      </c>
      <c r="I16">
        <f t="shared" si="4"/>
        <v>258.73399999999998</v>
      </c>
      <c r="J16">
        <f>HW!J16</f>
        <v>344</v>
      </c>
      <c r="K16">
        <f>2*HW!K16</f>
        <v>708</v>
      </c>
      <c r="L16">
        <f>HW!L16</f>
        <v>16</v>
      </c>
      <c r="M16">
        <f>HW!M16</f>
        <v>16</v>
      </c>
      <c r="N16">
        <f>HW!K16</f>
        <v>354</v>
      </c>
      <c r="O16">
        <f t="shared" si="5"/>
        <v>16</v>
      </c>
    </row>
    <row r="17" spans="1:15" x14ac:dyDescent="0.3">
      <c r="A17" t="str">
        <f>"2"&amp;HW!A17</f>
        <v>2HW350X350</v>
      </c>
      <c r="B17">
        <f>2*HW!B17</f>
        <v>34407.800000000003</v>
      </c>
      <c r="C17">
        <f>2*HW!C17</f>
        <v>797604160</v>
      </c>
      <c r="D17">
        <f>ROUND(2*HW!D17+HW!B17*HW!K17^2/2,1)</f>
        <v>1325399255</v>
      </c>
      <c r="E17">
        <f t="shared" si="0"/>
        <v>4557738.0999999996</v>
      </c>
      <c r="F17">
        <f t="shared" si="1"/>
        <v>3786855</v>
      </c>
      <c r="G17">
        <f t="shared" si="2"/>
        <v>152.30000000000001</v>
      </c>
      <c r="H17">
        <f t="shared" si="3"/>
        <v>196.3</v>
      </c>
      <c r="I17">
        <f t="shared" si="4"/>
        <v>270.101</v>
      </c>
      <c r="J17">
        <f>HW!J17</f>
        <v>350</v>
      </c>
      <c r="K17">
        <f>2*HW!K17</f>
        <v>700</v>
      </c>
      <c r="L17">
        <f>HW!L17</f>
        <v>12</v>
      </c>
      <c r="M17">
        <f>HW!M17</f>
        <v>19</v>
      </c>
      <c r="N17">
        <f>HW!K17</f>
        <v>350</v>
      </c>
      <c r="O17">
        <f t="shared" si="5"/>
        <v>19</v>
      </c>
    </row>
    <row r="18" spans="1:15" x14ac:dyDescent="0.3">
      <c r="A18" t="str">
        <f>"2"&amp;HW!A18</f>
        <v>2HW350X357</v>
      </c>
      <c r="B18">
        <f>2*HW!B18</f>
        <v>39307.800000000003</v>
      </c>
      <c r="C18">
        <f>2*HW!C18</f>
        <v>847624980</v>
      </c>
      <c r="D18">
        <f>ROUND(2*HW!D18+HW!B18*HW!K18^2/2,1)</f>
        <v>1541006950.5999999</v>
      </c>
      <c r="E18">
        <f t="shared" si="0"/>
        <v>4843571.3</v>
      </c>
      <c r="F18">
        <f t="shared" si="1"/>
        <v>4316546.0999999996</v>
      </c>
      <c r="G18">
        <f t="shared" si="2"/>
        <v>146.80000000000001</v>
      </c>
      <c r="H18">
        <f t="shared" si="3"/>
        <v>198</v>
      </c>
      <c r="I18">
        <f t="shared" si="4"/>
        <v>308.56599999999997</v>
      </c>
      <c r="J18">
        <f>HW!J18</f>
        <v>350</v>
      </c>
      <c r="K18">
        <f>2*HW!K18</f>
        <v>714</v>
      </c>
      <c r="L18">
        <f>HW!L18</f>
        <v>19</v>
      </c>
      <c r="M18">
        <f>HW!M18</f>
        <v>19</v>
      </c>
      <c r="N18">
        <f>HW!K18</f>
        <v>357</v>
      </c>
      <c r="O18">
        <f t="shared" si="5"/>
        <v>19</v>
      </c>
    </row>
    <row r="19" spans="1:15" x14ac:dyDescent="0.3">
      <c r="A19" t="str">
        <f>"2"&amp;HW!A19</f>
        <v>2HW388X402</v>
      </c>
      <c r="B19">
        <f>2*HW!B19</f>
        <v>35776</v>
      </c>
      <c r="C19">
        <f>2*HW!C19</f>
        <v>981784600</v>
      </c>
      <c r="D19">
        <f>ROUND(2*HW!D19+HW!B19*HW!K19^2/2,1)</f>
        <v>1770579896</v>
      </c>
      <c r="E19">
        <f t="shared" si="0"/>
        <v>5060745.4000000004</v>
      </c>
      <c r="F19">
        <f t="shared" si="1"/>
        <v>4404427.5999999996</v>
      </c>
      <c r="G19">
        <f t="shared" si="2"/>
        <v>165.7</v>
      </c>
      <c r="H19">
        <f t="shared" si="3"/>
        <v>222.5</v>
      </c>
      <c r="I19">
        <f t="shared" si="4"/>
        <v>280.84199999999998</v>
      </c>
      <c r="J19">
        <f>HW!J19</f>
        <v>388</v>
      </c>
      <c r="K19">
        <f>2*HW!K19</f>
        <v>804</v>
      </c>
      <c r="L19">
        <f>HW!L19</f>
        <v>15</v>
      </c>
      <c r="M19">
        <f>HW!M19</f>
        <v>15</v>
      </c>
      <c r="N19">
        <f>HW!K19</f>
        <v>402</v>
      </c>
      <c r="O19">
        <f t="shared" si="5"/>
        <v>15</v>
      </c>
    </row>
    <row r="20" spans="1:15" x14ac:dyDescent="0.3">
      <c r="A20" t="str">
        <f>"2"&amp;HW!A20</f>
        <v>2HW394X398</v>
      </c>
      <c r="B20">
        <f>2*HW!B20</f>
        <v>37448</v>
      </c>
      <c r="C20">
        <f>2*HW!C20</f>
        <v>1125387380</v>
      </c>
      <c r="D20">
        <f>ROUND(2*HW!D20+HW!B20*HW!K20^2/2,1)</f>
        <v>1861451688</v>
      </c>
      <c r="E20">
        <f t="shared" si="0"/>
        <v>5712626.2999999998</v>
      </c>
      <c r="F20">
        <f t="shared" si="1"/>
        <v>4677014.3</v>
      </c>
      <c r="G20">
        <f t="shared" si="2"/>
        <v>173.4</v>
      </c>
      <c r="H20">
        <f t="shared" si="3"/>
        <v>223</v>
      </c>
      <c r="I20">
        <f t="shared" si="4"/>
        <v>293.96699999999998</v>
      </c>
      <c r="J20">
        <f>HW!J20</f>
        <v>394</v>
      </c>
      <c r="K20">
        <f>2*HW!K20</f>
        <v>796</v>
      </c>
      <c r="L20">
        <f>HW!L20</f>
        <v>11</v>
      </c>
      <c r="M20">
        <f>HW!M20</f>
        <v>18</v>
      </c>
      <c r="N20">
        <f>HW!K20</f>
        <v>398</v>
      </c>
      <c r="O20">
        <f t="shared" si="5"/>
        <v>18</v>
      </c>
    </row>
    <row r="21" spans="1:15" x14ac:dyDescent="0.3">
      <c r="A21" t="str">
        <f>"2"&amp;HW!A21</f>
        <v>2HW394X405</v>
      </c>
      <c r="B21">
        <f>2*HW!B21</f>
        <v>42964</v>
      </c>
      <c r="C21">
        <f>2*HW!C21</f>
        <v>1196744200</v>
      </c>
      <c r="D21">
        <f>ROUND(2*HW!D21+HW!B21*HW!K21^2/2,1)</f>
        <v>2160926625</v>
      </c>
      <c r="E21">
        <f t="shared" si="0"/>
        <v>6074843.7000000002</v>
      </c>
      <c r="F21">
        <f t="shared" si="1"/>
        <v>5335621.3</v>
      </c>
      <c r="G21">
        <f t="shared" si="2"/>
        <v>166.9</v>
      </c>
      <c r="H21">
        <f t="shared" si="3"/>
        <v>224.3</v>
      </c>
      <c r="I21">
        <f t="shared" si="4"/>
        <v>337.267</v>
      </c>
      <c r="J21">
        <f>HW!J21</f>
        <v>394</v>
      </c>
      <c r="K21">
        <f>2*HW!K21</f>
        <v>810</v>
      </c>
      <c r="L21">
        <f>HW!L21</f>
        <v>18</v>
      </c>
      <c r="M21">
        <f>HW!M21</f>
        <v>18</v>
      </c>
      <c r="N21">
        <f>HW!K21</f>
        <v>405</v>
      </c>
      <c r="O21">
        <f t="shared" si="5"/>
        <v>18</v>
      </c>
    </row>
    <row r="22" spans="1:15" x14ac:dyDescent="0.3">
      <c r="A22" t="str">
        <f>"2"&amp;HW!A22</f>
        <v>2HW400X400</v>
      </c>
      <c r="B22">
        <f>2*HW!B22</f>
        <v>43824</v>
      </c>
      <c r="C22">
        <f>2*HW!C22</f>
        <v>1334909440</v>
      </c>
      <c r="D22">
        <f>ROUND(2*HW!D22+HW!B22*HW!K22^2/2,1)</f>
        <v>2201236960</v>
      </c>
      <c r="E22">
        <f t="shared" si="0"/>
        <v>6674547.2000000002</v>
      </c>
      <c r="F22">
        <f t="shared" si="1"/>
        <v>5503092.4000000004</v>
      </c>
      <c r="G22">
        <f t="shared" si="2"/>
        <v>174.5</v>
      </c>
      <c r="H22">
        <f t="shared" si="3"/>
        <v>224.1</v>
      </c>
      <c r="I22">
        <f t="shared" si="4"/>
        <v>344.01799999999997</v>
      </c>
      <c r="J22">
        <f>HW!J22</f>
        <v>400</v>
      </c>
      <c r="K22">
        <f>2*HW!K22</f>
        <v>800</v>
      </c>
      <c r="L22">
        <f>HW!L22</f>
        <v>13</v>
      </c>
      <c r="M22">
        <f>HW!M22</f>
        <v>21</v>
      </c>
      <c r="N22">
        <f>HW!K22</f>
        <v>400</v>
      </c>
      <c r="O22">
        <f t="shared" si="5"/>
        <v>21</v>
      </c>
    </row>
    <row r="23" spans="1:15" x14ac:dyDescent="0.3">
      <c r="A23" t="str">
        <f>"2"&amp;HW!A23</f>
        <v>2HW400X408</v>
      </c>
      <c r="B23">
        <f>2*HW!B23</f>
        <v>50224</v>
      </c>
      <c r="C23">
        <f>2*HW!C23</f>
        <v>1420242780</v>
      </c>
      <c r="D23">
        <f>ROUND(2*HW!D23+HW!B23*HW!K23^2/2,1)</f>
        <v>2566342304</v>
      </c>
      <c r="E23">
        <f t="shared" si="0"/>
        <v>7101213.9000000004</v>
      </c>
      <c r="F23">
        <f t="shared" si="1"/>
        <v>6290054.7000000002</v>
      </c>
      <c r="G23">
        <f t="shared" si="2"/>
        <v>168.2</v>
      </c>
      <c r="H23">
        <f t="shared" si="3"/>
        <v>226</v>
      </c>
      <c r="I23">
        <f t="shared" si="4"/>
        <v>394.25799999999998</v>
      </c>
      <c r="J23">
        <f>HW!J23</f>
        <v>400</v>
      </c>
      <c r="K23">
        <f>2*HW!K23</f>
        <v>816</v>
      </c>
      <c r="L23">
        <f>HW!L23</f>
        <v>21</v>
      </c>
      <c r="M23">
        <f>HW!M23</f>
        <v>21</v>
      </c>
      <c r="N23">
        <f>HW!K23</f>
        <v>408</v>
      </c>
      <c r="O23">
        <f t="shared" si="5"/>
        <v>21</v>
      </c>
    </row>
    <row r="24" spans="1:15" x14ac:dyDescent="0.3">
      <c r="A24" t="str">
        <f>"2"&amp;HW!A24</f>
        <v>2HW414X405</v>
      </c>
      <c r="B24">
        <f>2*HW!B24</f>
        <v>59164</v>
      </c>
      <c r="C24">
        <f>2*HW!C24</f>
        <v>1857904000</v>
      </c>
      <c r="D24">
        <f>ROUND(2*HW!D24+HW!B24*HW!K24^2/2,1)</f>
        <v>3046661615</v>
      </c>
      <c r="E24">
        <f t="shared" si="0"/>
        <v>8975381.5999999996</v>
      </c>
      <c r="F24">
        <f t="shared" si="1"/>
        <v>7522621.2999999998</v>
      </c>
      <c r="G24">
        <f t="shared" si="2"/>
        <v>177.2</v>
      </c>
      <c r="H24">
        <f t="shared" si="3"/>
        <v>226.9</v>
      </c>
      <c r="I24">
        <f t="shared" si="4"/>
        <v>464.43700000000001</v>
      </c>
      <c r="J24">
        <f>HW!J24</f>
        <v>414</v>
      </c>
      <c r="K24">
        <f>2*HW!K24</f>
        <v>810</v>
      </c>
      <c r="L24">
        <f>HW!L24</f>
        <v>18</v>
      </c>
      <c r="M24">
        <f>HW!M24</f>
        <v>28</v>
      </c>
      <c r="N24">
        <f>HW!K24</f>
        <v>405</v>
      </c>
      <c r="O24">
        <f t="shared" si="5"/>
        <v>28</v>
      </c>
    </row>
    <row r="25" spans="1:15" x14ac:dyDescent="0.3">
      <c r="A25" t="str">
        <f>"2"&amp;HW!A25</f>
        <v>2HW428X407</v>
      </c>
      <c r="B25">
        <f>2*HW!B25</f>
        <v>72216</v>
      </c>
      <c r="C25">
        <f>2*HW!C25</f>
        <v>2386562800</v>
      </c>
      <c r="D25">
        <f>ROUND(2*HW!D25+HW!B25*HW!K25^2/2,1)</f>
        <v>3777893426</v>
      </c>
      <c r="E25">
        <f t="shared" si="0"/>
        <v>11152162.6</v>
      </c>
      <c r="F25">
        <f t="shared" si="1"/>
        <v>9282293.4000000004</v>
      </c>
      <c r="G25">
        <f t="shared" si="2"/>
        <v>181.8</v>
      </c>
      <c r="H25">
        <f t="shared" si="3"/>
        <v>228.7</v>
      </c>
      <c r="I25">
        <f t="shared" si="4"/>
        <v>566.89599999999996</v>
      </c>
      <c r="J25">
        <f>HW!J25</f>
        <v>428</v>
      </c>
      <c r="K25">
        <f>2*HW!K25</f>
        <v>814</v>
      </c>
      <c r="L25">
        <f>HW!L25</f>
        <v>20</v>
      </c>
      <c r="M25">
        <f>HW!M25</f>
        <v>35</v>
      </c>
      <c r="N25">
        <f>HW!K25</f>
        <v>407</v>
      </c>
      <c r="O25">
        <f t="shared" si="5"/>
        <v>35</v>
      </c>
    </row>
    <row r="26" spans="1:15" x14ac:dyDescent="0.3">
      <c r="A26" t="str">
        <f>"2"&amp;HW!A26</f>
        <v>2HW458X417</v>
      </c>
      <c r="B26">
        <f>2*HW!B26</f>
        <v>105796</v>
      </c>
      <c r="C26">
        <f>2*HW!C26</f>
        <v>3745240600</v>
      </c>
      <c r="D26">
        <f>ROUND(2*HW!D26+HW!B26*HW!K26^2/2,1)</f>
        <v>5809724601</v>
      </c>
      <c r="E26">
        <f t="shared" si="0"/>
        <v>16354762.4</v>
      </c>
      <c r="F26">
        <f t="shared" si="1"/>
        <v>13932193.300000001</v>
      </c>
      <c r="G26">
        <f t="shared" si="2"/>
        <v>188.2</v>
      </c>
      <c r="H26">
        <f t="shared" si="3"/>
        <v>234.3</v>
      </c>
      <c r="I26">
        <f t="shared" si="4"/>
        <v>830.49900000000002</v>
      </c>
      <c r="J26">
        <f>HW!J26</f>
        <v>458</v>
      </c>
      <c r="K26">
        <f>2*HW!K26</f>
        <v>834</v>
      </c>
      <c r="L26">
        <f>HW!L26</f>
        <v>30</v>
      </c>
      <c r="M26">
        <f>HW!M26</f>
        <v>50</v>
      </c>
      <c r="N26">
        <f>HW!K26</f>
        <v>417</v>
      </c>
      <c r="O26">
        <f t="shared" si="5"/>
        <v>50</v>
      </c>
    </row>
    <row r="27" spans="1:15" x14ac:dyDescent="0.3">
      <c r="A27" t="str">
        <f>"2"&amp;HW!A27</f>
        <v>2HW498X432</v>
      </c>
      <c r="B27">
        <f>2*HW!B27</f>
        <v>154096</v>
      </c>
      <c r="C27">
        <f>2*HW!C27</f>
        <v>5960674200</v>
      </c>
      <c r="D27">
        <f>ROUND(2*HW!D27+HW!B27*HW!K27^2/2,1)</f>
        <v>9076834536</v>
      </c>
      <c r="E27">
        <f t="shared" si="0"/>
        <v>23938450.600000001</v>
      </c>
      <c r="F27">
        <f t="shared" si="1"/>
        <v>21011191.100000001</v>
      </c>
      <c r="G27">
        <f t="shared" si="2"/>
        <v>196.7</v>
      </c>
      <c r="H27">
        <f t="shared" si="3"/>
        <v>242.7</v>
      </c>
      <c r="I27">
        <f t="shared" si="4"/>
        <v>1209.654</v>
      </c>
      <c r="J27">
        <f>HW!J27</f>
        <v>498</v>
      </c>
      <c r="K27">
        <f>2*HW!K27</f>
        <v>864</v>
      </c>
      <c r="L27">
        <f>HW!L27</f>
        <v>45</v>
      </c>
      <c r="M27">
        <f>HW!M27</f>
        <v>70</v>
      </c>
      <c r="N27">
        <f>HW!K27</f>
        <v>432</v>
      </c>
      <c r="O27">
        <f t="shared" si="5"/>
        <v>70</v>
      </c>
    </row>
    <row r="28" spans="1:15" x14ac:dyDescent="0.3">
      <c r="A28" t="str">
        <f>"2"&amp;HW!A28</f>
        <v>2HW492X465</v>
      </c>
      <c r="B28">
        <f>2*HW!B28</f>
        <v>51676</v>
      </c>
      <c r="C28">
        <f>2*HW!C28</f>
        <v>2348658400</v>
      </c>
      <c r="D28">
        <f>ROUND(2*HW!D28+HW!B28*HW!K28^2/2,1)</f>
        <v>3464130815</v>
      </c>
      <c r="E28">
        <f t="shared" si="0"/>
        <v>9547391.9000000004</v>
      </c>
      <c r="F28">
        <f t="shared" si="1"/>
        <v>7449743.7000000002</v>
      </c>
      <c r="G28">
        <f t="shared" si="2"/>
        <v>213.2</v>
      </c>
      <c r="H28">
        <f t="shared" si="3"/>
        <v>258.89999999999998</v>
      </c>
      <c r="I28">
        <f t="shared" si="4"/>
        <v>405.65699999999998</v>
      </c>
      <c r="J28">
        <f>HW!J28</f>
        <v>492</v>
      </c>
      <c r="K28">
        <f>2*HW!K28</f>
        <v>930</v>
      </c>
      <c r="L28">
        <f>HW!L28</f>
        <v>15</v>
      </c>
      <c r="M28">
        <f>HW!M28</f>
        <v>20</v>
      </c>
      <c r="N28">
        <f>HW!K28</f>
        <v>465</v>
      </c>
      <c r="O28">
        <f t="shared" si="5"/>
        <v>20</v>
      </c>
    </row>
    <row r="29" spans="1:15" x14ac:dyDescent="0.3">
      <c r="A29" t="str">
        <f>"2"&amp;HW!A29</f>
        <v>2HW502X465</v>
      </c>
      <c r="B29">
        <f>2*HW!B29</f>
        <v>60976</v>
      </c>
      <c r="C29">
        <f>2*HW!C29</f>
        <v>2922973600</v>
      </c>
      <c r="D29">
        <f>ROUND(2*HW!D29+HW!B29*HW!K29^2/2,1)</f>
        <v>4134428320</v>
      </c>
      <c r="E29">
        <f t="shared" si="0"/>
        <v>11645313.1</v>
      </c>
      <c r="F29">
        <f t="shared" si="1"/>
        <v>8891243.6999999993</v>
      </c>
      <c r="G29">
        <f t="shared" si="2"/>
        <v>218.9</v>
      </c>
      <c r="H29">
        <f t="shared" si="3"/>
        <v>260.39999999999998</v>
      </c>
      <c r="I29">
        <f t="shared" si="4"/>
        <v>478.66199999999998</v>
      </c>
      <c r="J29">
        <f>HW!J29</f>
        <v>502</v>
      </c>
      <c r="K29">
        <f>2*HW!K29</f>
        <v>930</v>
      </c>
      <c r="L29">
        <f>HW!L29</f>
        <v>15</v>
      </c>
      <c r="M29">
        <f>HW!M29</f>
        <v>25</v>
      </c>
      <c r="N29">
        <f>HW!K29</f>
        <v>465</v>
      </c>
      <c r="O29">
        <f t="shared" si="5"/>
        <v>25</v>
      </c>
    </row>
    <row r="30" spans="1:15" x14ac:dyDescent="0.3">
      <c r="A30" t="str">
        <f>"2"&amp;HW!A30</f>
        <v>2HW502X470</v>
      </c>
      <c r="B30">
        <f>2*HW!B30</f>
        <v>65996</v>
      </c>
      <c r="C30">
        <f>2*HW!C30</f>
        <v>3028395400</v>
      </c>
      <c r="D30">
        <f>ROUND(2*HW!D30+HW!B30*HW!K30^2/2,1)</f>
        <v>4510655800</v>
      </c>
      <c r="E30">
        <f t="shared" si="0"/>
        <v>12065320.300000001</v>
      </c>
      <c r="F30">
        <f t="shared" si="1"/>
        <v>9597140</v>
      </c>
      <c r="G30">
        <f t="shared" si="2"/>
        <v>214.2</v>
      </c>
      <c r="H30">
        <f t="shared" si="3"/>
        <v>261.39999999999998</v>
      </c>
      <c r="I30">
        <f t="shared" si="4"/>
        <v>518.06899999999996</v>
      </c>
      <c r="J30">
        <f>HW!J30</f>
        <v>502</v>
      </c>
      <c r="K30">
        <f>2*HW!K30</f>
        <v>940</v>
      </c>
      <c r="L30">
        <f>HW!L30</f>
        <v>20</v>
      </c>
      <c r="M30">
        <f>HW!M30</f>
        <v>25</v>
      </c>
      <c r="N30">
        <f>HW!K30</f>
        <v>470</v>
      </c>
      <c r="O30">
        <f t="shared" si="5"/>
        <v>25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0EE7D-BF10-464F-9727-CD1AEBB6C60F}">
  <dimension ref="A1:O41"/>
  <sheetViews>
    <sheetView workbookViewId="0">
      <selection activeCell="N1" sqref="N1"/>
    </sheetView>
  </sheetViews>
  <sheetFormatPr defaultRowHeight="14" x14ac:dyDescent="0.3"/>
  <cols>
    <col min="3" max="4" width="12.75" customWidth="1"/>
  </cols>
  <sheetData>
    <row r="1" spans="1:15" x14ac:dyDescent="0.3">
      <c r="A1" s="2" t="s">
        <v>96</v>
      </c>
      <c r="B1" s="3" t="s">
        <v>97</v>
      </c>
      <c r="C1" s="3" t="s">
        <v>114</v>
      </c>
      <c r="D1" s="3" t="s">
        <v>116</v>
      </c>
      <c r="E1" s="3" t="s">
        <v>118</v>
      </c>
      <c r="F1" s="3" t="s">
        <v>124</v>
      </c>
      <c r="G1" s="3" t="s">
        <v>120</v>
      </c>
      <c r="H1" s="3" t="s">
        <v>122</v>
      </c>
      <c r="I1" s="3" t="s">
        <v>126</v>
      </c>
      <c r="J1" s="3" t="s">
        <v>103</v>
      </c>
      <c r="K1" s="3" t="s">
        <v>104</v>
      </c>
      <c r="L1" s="3" t="s">
        <v>105</v>
      </c>
      <c r="M1" s="3" t="s">
        <v>111</v>
      </c>
      <c r="N1" s="3" t="s">
        <v>356</v>
      </c>
      <c r="O1" s="3"/>
    </row>
    <row r="2" spans="1:15" x14ac:dyDescent="0.3">
      <c r="A2" t="s">
        <v>46</v>
      </c>
      <c r="B2">
        <v>692.5</v>
      </c>
      <c r="C2">
        <v>260143.7</v>
      </c>
      <c r="D2">
        <v>83349.3</v>
      </c>
      <c r="E2">
        <f>ROUND(C2/J2*2,1)</f>
        <v>10405.700000000001</v>
      </c>
      <c r="F2">
        <f>ROUND(D2/K2*2,1)</f>
        <v>4505.3999999999996</v>
      </c>
      <c r="G2">
        <f>ROUND((C2/B2)^0.5,1)</f>
        <v>19.399999999999999</v>
      </c>
      <c r="H2">
        <f>ROUND((D2/B2)^0.5,1)</f>
        <v>11</v>
      </c>
      <c r="I2">
        <f>ROUND(0.00785*B2,3)</f>
        <v>5.4359999999999999</v>
      </c>
      <c r="J2">
        <v>50</v>
      </c>
      <c r="K2">
        <v>37</v>
      </c>
      <c r="L2">
        <v>4.5</v>
      </c>
      <c r="M2">
        <v>7</v>
      </c>
      <c r="N2">
        <v>23.5</v>
      </c>
    </row>
    <row r="3" spans="1:15" x14ac:dyDescent="0.3">
      <c r="A3" t="s">
        <v>47</v>
      </c>
      <c r="B3">
        <v>844.7</v>
      </c>
      <c r="C3">
        <v>512365.8</v>
      </c>
      <c r="D3">
        <v>118950.2</v>
      </c>
      <c r="E3">
        <f t="shared" ref="E3:E32" si="0">ROUND(C3/J3*2,1)</f>
        <v>16265.6</v>
      </c>
      <c r="F3">
        <f t="shared" ref="F3:F32" si="1">ROUND(D3/K3*2,1)</f>
        <v>5947.5</v>
      </c>
      <c r="G3">
        <f t="shared" ref="G3:G32" si="2">ROUND((C3/B3)^0.5,1)</f>
        <v>24.6</v>
      </c>
      <c r="H3">
        <f t="shared" ref="H3:H32" si="3">ROUND((D3/B3)^0.5,1)</f>
        <v>11.9</v>
      </c>
      <c r="I3">
        <f t="shared" ref="I3:I32" si="4">ROUND(0.00785*B3,3)</f>
        <v>6.6310000000000002</v>
      </c>
      <c r="J3">
        <v>63</v>
      </c>
      <c r="K3">
        <v>40</v>
      </c>
      <c r="L3">
        <v>4.8</v>
      </c>
      <c r="M3">
        <v>7.5</v>
      </c>
      <c r="N3">
        <v>26.1</v>
      </c>
    </row>
    <row r="4" spans="1:15" x14ac:dyDescent="0.3">
      <c r="A4" t="s">
        <v>48</v>
      </c>
      <c r="B4">
        <v>1024.3</v>
      </c>
      <c r="C4">
        <v>1012980.1</v>
      </c>
      <c r="D4">
        <v>166258.4</v>
      </c>
      <c r="E4">
        <f t="shared" si="0"/>
        <v>25324.5</v>
      </c>
      <c r="F4">
        <f t="shared" si="1"/>
        <v>7732.9</v>
      </c>
      <c r="G4">
        <f t="shared" si="2"/>
        <v>31.4</v>
      </c>
      <c r="H4">
        <f t="shared" si="3"/>
        <v>12.7</v>
      </c>
      <c r="I4">
        <f t="shared" si="4"/>
        <v>8.0410000000000004</v>
      </c>
      <c r="J4">
        <v>80</v>
      </c>
      <c r="K4">
        <v>43</v>
      </c>
      <c r="L4">
        <v>5</v>
      </c>
      <c r="M4">
        <v>8</v>
      </c>
      <c r="N4">
        <v>28.8</v>
      </c>
    </row>
    <row r="5" spans="1:15" x14ac:dyDescent="0.3">
      <c r="A5" t="s">
        <v>49</v>
      </c>
      <c r="B5">
        <v>1274.3</v>
      </c>
      <c r="C5">
        <v>1983048.4</v>
      </c>
      <c r="D5">
        <v>255910.7</v>
      </c>
      <c r="E5">
        <f t="shared" si="0"/>
        <v>39661</v>
      </c>
      <c r="F5">
        <f t="shared" si="1"/>
        <v>10662.9</v>
      </c>
      <c r="G5">
        <f t="shared" si="2"/>
        <v>39.4</v>
      </c>
      <c r="H5">
        <f t="shared" si="3"/>
        <v>14.2</v>
      </c>
      <c r="I5">
        <f t="shared" si="4"/>
        <v>10.003</v>
      </c>
      <c r="J5">
        <v>100</v>
      </c>
      <c r="K5">
        <v>48</v>
      </c>
      <c r="L5">
        <v>5.3</v>
      </c>
      <c r="M5">
        <v>8.5</v>
      </c>
      <c r="N5">
        <v>32.799999999999997</v>
      </c>
    </row>
    <row r="6" spans="1:15" x14ac:dyDescent="0.3">
      <c r="A6" t="s">
        <v>50</v>
      </c>
      <c r="B6">
        <v>1535.6</v>
      </c>
      <c r="C6">
        <v>3462852.4</v>
      </c>
      <c r="D6">
        <v>374199</v>
      </c>
      <c r="E6">
        <f t="shared" si="0"/>
        <v>57714.2</v>
      </c>
      <c r="F6">
        <f t="shared" si="1"/>
        <v>14120.7</v>
      </c>
      <c r="G6">
        <f t="shared" si="2"/>
        <v>47.5</v>
      </c>
      <c r="H6">
        <f t="shared" si="3"/>
        <v>15.6</v>
      </c>
      <c r="I6">
        <f t="shared" si="4"/>
        <v>12.054</v>
      </c>
      <c r="J6">
        <v>120</v>
      </c>
      <c r="K6">
        <v>53</v>
      </c>
      <c r="L6">
        <v>5.5</v>
      </c>
      <c r="M6">
        <v>9</v>
      </c>
      <c r="N6">
        <v>36.799999999999997</v>
      </c>
    </row>
    <row r="7" spans="1:15" x14ac:dyDescent="0.3">
      <c r="A7" t="s">
        <v>51</v>
      </c>
      <c r="B7">
        <v>1568.6</v>
      </c>
      <c r="C7">
        <v>3885261.6</v>
      </c>
      <c r="D7">
        <v>380128.3</v>
      </c>
      <c r="E7">
        <f t="shared" si="0"/>
        <v>61670.8</v>
      </c>
      <c r="F7">
        <f t="shared" si="1"/>
        <v>14344.5</v>
      </c>
      <c r="G7">
        <f t="shared" si="2"/>
        <v>49.8</v>
      </c>
      <c r="H7">
        <f t="shared" si="3"/>
        <v>15.6</v>
      </c>
      <c r="I7">
        <f t="shared" si="4"/>
        <v>12.314</v>
      </c>
      <c r="J7">
        <v>126</v>
      </c>
      <c r="K7">
        <v>53</v>
      </c>
      <c r="L7">
        <v>5.5</v>
      </c>
      <c r="M7">
        <v>9</v>
      </c>
      <c r="N7">
        <v>37.1</v>
      </c>
    </row>
    <row r="8" spans="1:15" x14ac:dyDescent="0.3">
      <c r="A8" t="s">
        <v>52</v>
      </c>
      <c r="B8">
        <v>1850.9</v>
      </c>
      <c r="C8">
        <v>5637109.5999999996</v>
      </c>
      <c r="D8">
        <v>532122.1</v>
      </c>
      <c r="E8">
        <f t="shared" si="0"/>
        <v>80530.100000000006</v>
      </c>
      <c r="F8">
        <f t="shared" si="1"/>
        <v>18349</v>
      </c>
      <c r="G8">
        <f t="shared" si="2"/>
        <v>55.2</v>
      </c>
      <c r="H8">
        <f t="shared" si="3"/>
        <v>17</v>
      </c>
      <c r="I8">
        <f t="shared" si="4"/>
        <v>14.53</v>
      </c>
      <c r="J8">
        <v>140</v>
      </c>
      <c r="K8">
        <v>58</v>
      </c>
      <c r="L8">
        <v>6</v>
      </c>
      <c r="M8">
        <v>9.5</v>
      </c>
      <c r="N8">
        <v>40.9</v>
      </c>
    </row>
    <row r="9" spans="1:15" x14ac:dyDescent="0.3">
      <c r="A9" t="s">
        <v>53</v>
      </c>
      <c r="B9">
        <v>2130.9</v>
      </c>
      <c r="C9">
        <v>6094442.9000000004</v>
      </c>
      <c r="D9">
        <v>611638.30000000005</v>
      </c>
      <c r="E9">
        <f t="shared" si="0"/>
        <v>87063.5</v>
      </c>
      <c r="F9">
        <f t="shared" si="1"/>
        <v>20387.900000000001</v>
      </c>
      <c r="G9">
        <f t="shared" si="2"/>
        <v>53.5</v>
      </c>
      <c r="H9">
        <f t="shared" si="3"/>
        <v>16.899999999999999</v>
      </c>
      <c r="I9">
        <f t="shared" si="4"/>
        <v>16.728000000000002</v>
      </c>
      <c r="J9">
        <v>140</v>
      </c>
      <c r="K9">
        <v>60</v>
      </c>
      <c r="L9">
        <v>8</v>
      </c>
      <c r="M9">
        <v>9.5</v>
      </c>
      <c r="N9">
        <v>43.3</v>
      </c>
    </row>
    <row r="10" spans="1:15" x14ac:dyDescent="0.3">
      <c r="A10" t="s">
        <v>54</v>
      </c>
      <c r="B10">
        <v>2195.4</v>
      </c>
      <c r="C10">
        <v>8662194.5999999996</v>
      </c>
      <c r="D10">
        <v>733609.4</v>
      </c>
      <c r="E10">
        <f t="shared" si="0"/>
        <v>108277.4</v>
      </c>
      <c r="F10">
        <f t="shared" si="1"/>
        <v>23289.200000000001</v>
      </c>
      <c r="G10">
        <f t="shared" si="2"/>
        <v>62.8</v>
      </c>
      <c r="H10">
        <f t="shared" si="3"/>
        <v>18.3</v>
      </c>
      <c r="I10">
        <f t="shared" si="4"/>
        <v>17.234000000000002</v>
      </c>
      <c r="J10">
        <v>160</v>
      </c>
      <c r="K10">
        <v>63</v>
      </c>
      <c r="L10">
        <v>6.5</v>
      </c>
      <c r="M10">
        <v>10</v>
      </c>
      <c r="N10">
        <v>45.1</v>
      </c>
    </row>
    <row r="11" spans="1:15" x14ac:dyDescent="0.3">
      <c r="A11" t="s">
        <v>348</v>
      </c>
      <c r="B11">
        <v>2515.4</v>
      </c>
      <c r="C11">
        <v>9344861.3000000007</v>
      </c>
      <c r="D11">
        <v>833990.7</v>
      </c>
      <c r="E11">
        <f t="shared" si="0"/>
        <v>116810.8</v>
      </c>
      <c r="F11">
        <f t="shared" si="1"/>
        <v>25661.3</v>
      </c>
      <c r="G11">
        <f t="shared" si="2"/>
        <v>61</v>
      </c>
      <c r="H11">
        <f t="shared" si="3"/>
        <v>18.2</v>
      </c>
      <c r="I11">
        <f t="shared" si="4"/>
        <v>19.745999999999999</v>
      </c>
      <c r="J11">
        <v>160</v>
      </c>
      <c r="K11">
        <v>65</v>
      </c>
      <c r="L11">
        <v>8.5</v>
      </c>
      <c r="M11">
        <v>10</v>
      </c>
      <c r="N11">
        <v>47.5</v>
      </c>
    </row>
    <row r="12" spans="1:15" x14ac:dyDescent="0.3">
      <c r="A12" t="s">
        <v>55</v>
      </c>
      <c r="B12">
        <v>2569</v>
      </c>
      <c r="C12">
        <v>12727286</v>
      </c>
      <c r="D12">
        <v>985756.2</v>
      </c>
      <c r="E12">
        <f t="shared" si="0"/>
        <v>141414.29999999999</v>
      </c>
      <c r="F12">
        <f t="shared" si="1"/>
        <v>28992.799999999999</v>
      </c>
      <c r="G12">
        <f t="shared" si="2"/>
        <v>70.400000000000006</v>
      </c>
      <c r="H12">
        <f t="shared" si="3"/>
        <v>19.600000000000001</v>
      </c>
      <c r="I12">
        <f t="shared" si="4"/>
        <v>20.167000000000002</v>
      </c>
      <c r="J12">
        <v>180</v>
      </c>
      <c r="K12">
        <v>68</v>
      </c>
      <c r="L12">
        <v>7</v>
      </c>
      <c r="M12">
        <v>10.5</v>
      </c>
      <c r="N12">
        <v>49.2</v>
      </c>
    </row>
    <row r="13" spans="1:15" x14ac:dyDescent="0.3">
      <c r="A13" t="s">
        <v>349</v>
      </c>
      <c r="B13">
        <v>2929</v>
      </c>
      <c r="C13">
        <v>13699286</v>
      </c>
      <c r="D13">
        <v>1110058</v>
      </c>
      <c r="E13">
        <f t="shared" si="0"/>
        <v>152214.29999999999</v>
      </c>
      <c r="F13">
        <f t="shared" si="1"/>
        <v>31715.9</v>
      </c>
      <c r="G13">
        <f t="shared" si="2"/>
        <v>68.400000000000006</v>
      </c>
      <c r="H13">
        <f t="shared" si="3"/>
        <v>19.5</v>
      </c>
      <c r="I13">
        <f t="shared" si="4"/>
        <v>22.992999999999999</v>
      </c>
      <c r="J13">
        <v>180</v>
      </c>
      <c r="K13">
        <v>70</v>
      </c>
      <c r="L13">
        <v>9</v>
      </c>
      <c r="M13">
        <v>10.5</v>
      </c>
      <c r="N13">
        <v>51.6</v>
      </c>
    </row>
    <row r="14" spans="1:15" x14ac:dyDescent="0.3">
      <c r="A14" t="s">
        <v>56</v>
      </c>
      <c r="B14">
        <v>2882.8</v>
      </c>
      <c r="C14">
        <v>17803746</v>
      </c>
      <c r="D14">
        <v>1280377.8999999999</v>
      </c>
      <c r="E14">
        <f t="shared" si="0"/>
        <v>178037.5</v>
      </c>
      <c r="F14">
        <f t="shared" si="1"/>
        <v>35078.800000000003</v>
      </c>
      <c r="G14">
        <f t="shared" si="2"/>
        <v>78.599999999999994</v>
      </c>
      <c r="H14">
        <f t="shared" si="3"/>
        <v>21.1</v>
      </c>
      <c r="I14">
        <f t="shared" si="4"/>
        <v>22.63</v>
      </c>
      <c r="J14">
        <v>200</v>
      </c>
      <c r="K14">
        <v>73</v>
      </c>
      <c r="L14">
        <v>7</v>
      </c>
      <c r="M14">
        <v>11</v>
      </c>
      <c r="N14">
        <v>52.9</v>
      </c>
    </row>
    <row r="15" spans="1:15" x14ac:dyDescent="0.3">
      <c r="A15" t="s">
        <v>350</v>
      </c>
      <c r="B15">
        <v>3282.8</v>
      </c>
      <c r="C15">
        <v>19137079</v>
      </c>
      <c r="D15">
        <v>1436302.5</v>
      </c>
      <c r="E15">
        <f t="shared" si="0"/>
        <v>191370.8</v>
      </c>
      <c r="F15">
        <f t="shared" si="1"/>
        <v>38301.4</v>
      </c>
      <c r="G15">
        <f t="shared" si="2"/>
        <v>76.400000000000006</v>
      </c>
      <c r="H15">
        <f t="shared" si="3"/>
        <v>20.9</v>
      </c>
      <c r="I15">
        <f t="shared" si="4"/>
        <v>25.77</v>
      </c>
      <c r="J15">
        <v>200</v>
      </c>
      <c r="K15">
        <v>75</v>
      </c>
      <c r="L15">
        <v>9</v>
      </c>
      <c r="M15">
        <v>11</v>
      </c>
      <c r="N15">
        <v>55.5</v>
      </c>
    </row>
    <row r="16" spans="1:15" x14ac:dyDescent="0.3">
      <c r="A16" t="s">
        <v>57</v>
      </c>
      <c r="B16">
        <v>3183.6</v>
      </c>
      <c r="C16">
        <v>23938651</v>
      </c>
      <c r="D16">
        <v>1577834.4</v>
      </c>
      <c r="E16">
        <f t="shared" si="0"/>
        <v>217624.1</v>
      </c>
      <c r="F16">
        <f t="shared" si="1"/>
        <v>40982.699999999997</v>
      </c>
      <c r="G16">
        <f t="shared" si="2"/>
        <v>86.7</v>
      </c>
      <c r="H16">
        <f t="shared" si="3"/>
        <v>22.3</v>
      </c>
      <c r="I16">
        <f t="shared" si="4"/>
        <v>24.991</v>
      </c>
      <c r="J16">
        <v>220</v>
      </c>
      <c r="K16">
        <v>77</v>
      </c>
      <c r="L16">
        <v>7</v>
      </c>
      <c r="M16">
        <v>11.5</v>
      </c>
      <c r="N16">
        <v>56</v>
      </c>
    </row>
    <row r="17" spans="1:14" x14ac:dyDescent="0.3">
      <c r="A17" t="s">
        <v>351</v>
      </c>
      <c r="B17">
        <v>3623.6</v>
      </c>
      <c r="C17">
        <v>25713318</v>
      </c>
      <c r="D17">
        <v>1765101.3</v>
      </c>
      <c r="E17">
        <f t="shared" si="0"/>
        <v>233757.4</v>
      </c>
      <c r="F17">
        <f t="shared" si="1"/>
        <v>44686.1</v>
      </c>
      <c r="G17">
        <f t="shared" si="2"/>
        <v>84.2</v>
      </c>
      <c r="H17">
        <f t="shared" si="3"/>
        <v>22.1</v>
      </c>
      <c r="I17">
        <f t="shared" si="4"/>
        <v>28.445</v>
      </c>
      <c r="J17">
        <v>220</v>
      </c>
      <c r="K17">
        <v>79</v>
      </c>
      <c r="L17">
        <v>9</v>
      </c>
      <c r="M17">
        <v>11.5</v>
      </c>
      <c r="N17">
        <v>58.7</v>
      </c>
    </row>
    <row r="18" spans="1:14" x14ac:dyDescent="0.3">
      <c r="A18" t="s">
        <v>58</v>
      </c>
      <c r="B18">
        <v>3490.6</v>
      </c>
      <c r="C18">
        <v>33591138</v>
      </c>
      <c r="D18">
        <v>1758440.8</v>
      </c>
      <c r="E18">
        <f t="shared" si="0"/>
        <v>268729.09999999998</v>
      </c>
      <c r="F18">
        <f t="shared" si="1"/>
        <v>45088.2</v>
      </c>
      <c r="G18">
        <f t="shared" si="2"/>
        <v>98.1</v>
      </c>
      <c r="H18">
        <f t="shared" si="3"/>
        <v>22.4</v>
      </c>
      <c r="I18">
        <f t="shared" si="4"/>
        <v>27.401</v>
      </c>
      <c r="J18">
        <v>250</v>
      </c>
      <c r="K18">
        <v>78</v>
      </c>
      <c r="L18">
        <v>7</v>
      </c>
      <c r="M18">
        <v>12</v>
      </c>
      <c r="N18">
        <v>57.3</v>
      </c>
    </row>
    <row r="19" spans="1:14" x14ac:dyDescent="0.3">
      <c r="A19" t="s">
        <v>59</v>
      </c>
      <c r="B19">
        <v>3990.6</v>
      </c>
      <c r="C19">
        <v>36195305</v>
      </c>
      <c r="D19">
        <v>1963711.6</v>
      </c>
      <c r="E19">
        <f t="shared" si="0"/>
        <v>289562.40000000002</v>
      </c>
      <c r="F19">
        <f t="shared" si="1"/>
        <v>49092.800000000003</v>
      </c>
      <c r="G19">
        <f t="shared" si="2"/>
        <v>95.2</v>
      </c>
      <c r="H19">
        <f t="shared" si="3"/>
        <v>22.2</v>
      </c>
      <c r="I19">
        <f t="shared" si="4"/>
        <v>31.326000000000001</v>
      </c>
      <c r="J19">
        <v>250</v>
      </c>
      <c r="K19">
        <v>80</v>
      </c>
      <c r="L19">
        <v>9</v>
      </c>
      <c r="M19">
        <v>12</v>
      </c>
      <c r="N19">
        <v>60.1</v>
      </c>
    </row>
    <row r="20" spans="1:14" x14ac:dyDescent="0.3">
      <c r="A20" t="s">
        <v>60</v>
      </c>
      <c r="B20">
        <v>4490.6000000000004</v>
      </c>
      <c r="C20">
        <v>38799471</v>
      </c>
      <c r="D20">
        <v>2158751.9</v>
      </c>
      <c r="E20">
        <f t="shared" si="0"/>
        <v>310395.8</v>
      </c>
      <c r="F20">
        <f t="shared" si="1"/>
        <v>52652.5</v>
      </c>
      <c r="G20">
        <f t="shared" si="2"/>
        <v>93</v>
      </c>
      <c r="H20">
        <f t="shared" si="3"/>
        <v>21.9</v>
      </c>
      <c r="I20">
        <f t="shared" si="4"/>
        <v>35.250999999999998</v>
      </c>
      <c r="J20">
        <v>250</v>
      </c>
      <c r="K20">
        <v>82</v>
      </c>
      <c r="L20">
        <v>11</v>
      </c>
      <c r="M20">
        <v>12</v>
      </c>
      <c r="N20">
        <v>62.4</v>
      </c>
    </row>
    <row r="21" spans="1:14" x14ac:dyDescent="0.3">
      <c r="A21" t="s">
        <v>61</v>
      </c>
      <c r="B21">
        <v>4002.4</v>
      </c>
      <c r="C21">
        <v>47528890</v>
      </c>
      <c r="D21">
        <v>2179489</v>
      </c>
      <c r="E21">
        <f t="shared" si="0"/>
        <v>339492.1</v>
      </c>
      <c r="F21">
        <f t="shared" si="1"/>
        <v>53158.3</v>
      </c>
      <c r="G21">
        <f t="shared" si="2"/>
        <v>109</v>
      </c>
      <c r="H21">
        <f t="shared" si="3"/>
        <v>23.3</v>
      </c>
      <c r="I21">
        <f t="shared" si="4"/>
        <v>31.419</v>
      </c>
      <c r="J21">
        <v>280</v>
      </c>
      <c r="K21">
        <v>82</v>
      </c>
      <c r="L21">
        <v>7.5</v>
      </c>
      <c r="M21">
        <v>12.5</v>
      </c>
      <c r="N21">
        <v>61.1</v>
      </c>
    </row>
    <row r="22" spans="1:14" x14ac:dyDescent="0.3">
      <c r="A22" t="s">
        <v>62</v>
      </c>
      <c r="B22">
        <v>4562.3999999999996</v>
      </c>
      <c r="C22">
        <v>51187557</v>
      </c>
      <c r="D22">
        <v>2416130.6</v>
      </c>
      <c r="E22">
        <f t="shared" si="0"/>
        <v>365625.4</v>
      </c>
      <c r="F22">
        <f t="shared" si="1"/>
        <v>57526.9</v>
      </c>
      <c r="G22">
        <f t="shared" si="2"/>
        <v>105.9</v>
      </c>
      <c r="H22">
        <f t="shared" si="3"/>
        <v>23</v>
      </c>
      <c r="I22">
        <f t="shared" si="4"/>
        <v>35.814999999999998</v>
      </c>
      <c r="J22">
        <v>280</v>
      </c>
      <c r="K22">
        <v>84</v>
      </c>
      <c r="L22">
        <v>9.5</v>
      </c>
      <c r="M22">
        <v>12.5</v>
      </c>
      <c r="N22">
        <v>63.8</v>
      </c>
    </row>
    <row r="23" spans="1:14" x14ac:dyDescent="0.3">
      <c r="A23" t="s">
        <v>63</v>
      </c>
      <c r="B23">
        <v>5122.3999999999996</v>
      </c>
      <c r="C23">
        <v>54846223</v>
      </c>
      <c r="D23">
        <v>2641465.6</v>
      </c>
      <c r="E23">
        <f t="shared" si="0"/>
        <v>391758.7</v>
      </c>
      <c r="F23">
        <f t="shared" si="1"/>
        <v>61429.4</v>
      </c>
      <c r="G23">
        <f t="shared" si="2"/>
        <v>103.5</v>
      </c>
      <c r="H23">
        <f t="shared" si="3"/>
        <v>22.7</v>
      </c>
      <c r="I23">
        <f t="shared" si="4"/>
        <v>40.210999999999999</v>
      </c>
      <c r="J23">
        <v>280</v>
      </c>
      <c r="K23">
        <v>86</v>
      </c>
      <c r="L23">
        <v>11.5</v>
      </c>
      <c r="M23">
        <v>12.5</v>
      </c>
      <c r="N23">
        <v>66.099999999999994</v>
      </c>
    </row>
    <row r="24" spans="1:14" x14ac:dyDescent="0.3">
      <c r="A24" t="s">
        <v>64</v>
      </c>
      <c r="B24">
        <v>4849.8</v>
      </c>
      <c r="C24">
        <v>75106232</v>
      </c>
      <c r="D24">
        <v>3046987.3</v>
      </c>
      <c r="E24">
        <f t="shared" si="0"/>
        <v>469414</v>
      </c>
      <c r="F24">
        <f t="shared" si="1"/>
        <v>69249.7</v>
      </c>
      <c r="G24">
        <f t="shared" si="2"/>
        <v>124.4</v>
      </c>
      <c r="H24">
        <f t="shared" si="3"/>
        <v>25.1</v>
      </c>
      <c r="I24">
        <f t="shared" si="4"/>
        <v>38.070999999999998</v>
      </c>
      <c r="J24">
        <v>320</v>
      </c>
      <c r="K24">
        <v>88</v>
      </c>
      <c r="L24">
        <v>8</v>
      </c>
      <c r="M24">
        <v>14</v>
      </c>
      <c r="N24">
        <v>65.599999999999994</v>
      </c>
    </row>
    <row r="25" spans="1:14" x14ac:dyDescent="0.3">
      <c r="A25" t="s">
        <v>65</v>
      </c>
      <c r="B25">
        <v>5489.8</v>
      </c>
      <c r="C25">
        <v>80567565</v>
      </c>
      <c r="D25">
        <v>3356068.5</v>
      </c>
      <c r="E25">
        <f t="shared" si="0"/>
        <v>503547.3</v>
      </c>
      <c r="F25">
        <f t="shared" si="1"/>
        <v>74579.3</v>
      </c>
      <c r="G25">
        <f t="shared" si="2"/>
        <v>121.1</v>
      </c>
      <c r="H25">
        <f t="shared" si="3"/>
        <v>24.7</v>
      </c>
      <c r="I25">
        <f t="shared" si="4"/>
        <v>43.094999999999999</v>
      </c>
      <c r="J25">
        <v>320</v>
      </c>
      <c r="K25">
        <v>90</v>
      </c>
      <c r="L25">
        <v>10</v>
      </c>
      <c r="M25">
        <v>14</v>
      </c>
      <c r="N25">
        <v>68.400000000000006</v>
      </c>
    </row>
    <row r="26" spans="1:14" x14ac:dyDescent="0.3">
      <c r="A26" t="s">
        <v>66</v>
      </c>
      <c r="B26">
        <v>6129.8</v>
      </c>
      <c r="C26">
        <v>86028899</v>
      </c>
      <c r="D26">
        <v>3650286.1</v>
      </c>
      <c r="E26">
        <f t="shared" si="0"/>
        <v>537680.6</v>
      </c>
      <c r="F26">
        <f t="shared" si="1"/>
        <v>79354</v>
      </c>
      <c r="G26">
        <f t="shared" si="2"/>
        <v>118.5</v>
      </c>
      <c r="H26">
        <f t="shared" si="3"/>
        <v>24.4</v>
      </c>
      <c r="I26">
        <f t="shared" si="4"/>
        <v>48.119</v>
      </c>
      <c r="J26">
        <v>320</v>
      </c>
      <c r="K26">
        <v>92</v>
      </c>
      <c r="L26">
        <v>12</v>
      </c>
      <c r="M26">
        <v>14</v>
      </c>
      <c r="N26">
        <v>70.7</v>
      </c>
    </row>
    <row r="27" spans="1:14" x14ac:dyDescent="0.3">
      <c r="A27" t="s">
        <v>67</v>
      </c>
      <c r="B27">
        <v>6089.1</v>
      </c>
      <c r="C27">
        <v>118740930</v>
      </c>
      <c r="D27">
        <v>4549670.5999999996</v>
      </c>
      <c r="E27">
        <f t="shared" si="0"/>
        <v>659671.80000000005</v>
      </c>
      <c r="F27">
        <f t="shared" si="1"/>
        <v>94784.8</v>
      </c>
      <c r="G27">
        <f t="shared" si="2"/>
        <v>139.6</v>
      </c>
      <c r="H27">
        <f t="shared" si="3"/>
        <v>27.3</v>
      </c>
      <c r="I27">
        <f t="shared" si="4"/>
        <v>47.798999999999999</v>
      </c>
      <c r="J27">
        <v>360</v>
      </c>
      <c r="K27">
        <v>96</v>
      </c>
      <c r="L27">
        <v>9</v>
      </c>
      <c r="M27">
        <v>16</v>
      </c>
      <c r="N27">
        <v>71.599999999999994</v>
      </c>
    </row>
    <row r="28" spans="1:14" x14ac:dyDescent="0.3">
      <c r="A28" t="s">
        <v>68</v>
      </c>
      <c r="B28">
        <v>6809.1</v>
      </c>
      <c r="C28">
        <v>126516930</v>
      </c>
      <c r="D28">
        <v>4966384.5999999996</v>
      </c>
      <c r="E28">
        <f t="shared" si="0"/>
        <v>702871.8</v>
      </c>
      <c r="F28">
        <f t="shared" si="1"/>
        <v>101354.8</v>
      </c>
      <c r="G28">
        <f t="shared" si="2"/>
        <v>136.30000000000001</v>
      </c>
      <c r="H28">
        <f t="shared" si="3"/>
        <v>27</v>
      </c>
      <c r="I28">
        <f t="shared" si="4"/>
        <v>53.451000000000001</v>
      </c>
      <c r="J28">
        <v>360</v>
      </c>
      <c r="K28">
        <v>98</v>
      </c>
      <c r="L28">
        <v>11</v>
      </c>
      <c r="M28">
        <v>16</v>
      </c>
      <c r="N28">
        <v>74.3</v>
      </c>
    </row>
    <row r="29" spans="1:14" x14ac:dyDescent="0.3">
      <c r="A29" t="s">
        <v>69</v>
      </c>
      <c r="B29">
        <v>7529.1</v>
      </c>
      <c r="C29">
        <v>34292930</v>
      </c>
      <c r="D29">
        <v>5365286.4000000004</v>
      </c>
      <c r="E29">
        <f t="shared" si="0"/>
        <v>190516.3</v>
      </c>
      <c r="F29">
        <f t="shared" si="1"/>
        <v>107305.7</v>
      </c>
      <c r="G29">
        <f t="shared" si="2"/>
        <v>67.5</v>
      </c>
      <c r="H29">
        <f t="shared" si="3"/>
        <v>26.7</v>
      </c>
      <c r="I29">
        <f t="shared" si="4"/>
        <v>59.103000000000002</v>
      </c>
      <c r="J29">
        <v>360</v>
      </c>
      <c r="K29">
        <v>100</v>
      </c>
      <c r="L29">
        <v>13</v>
      </c>
      <c r="M29">
        <v>16</v>
      </c>
      <c r="N29">
        <v>76.599999999999994</v>
      </c>
    </row>
    <row r="30" spans="1:14" x14ac:dyDescent="0.3">
      <c r="A30" t="s">
        <v>70</v>
      </c>
      <c r="B30">
        <v>7504.3</v>
      </c>
      <c r="C30">
        <v>175776540</v>
      </c>
      <c r="D30">
        <v>5919914.2999999998</v>
      </c>
      <c r="E30">
        <f t="shared" si="0"/>
        <v>878882.7</v>
      </c>
      <c r="F30">
        <f t="shared" si="1"/>
        <v>118398.3</v>
      </c>
      <c r="G30">
        <f t="shared" si="2"/>
        <v>153</v>
      </c>
      <c r="H30">
        <f t="shared" si="3"/>
        <v>28.1</v>
      </c>
      <c r="I30">
        <f t="shared" si="4"/>
        <v>58.908999999999999</v>
      </c>
      <c r="J30">
        <v>400</v>
      </c>
      <c r="K30">
        <v>100</v>
      </c>
      <c r="L30">
        <v>10.5</v>
      </c>
      <c r="M30">
        <v>18</v>
      </c>
      <c r="N30">
        <v>75.099999999999994</v>
      </c>
    </row>
    <row r="31" spans="1:14" x14ac:dyDescent="0.3">
      <c r="A31" t="s">
        <v>71</v>
      </c>
      <c r="B31">
        <v>8304.2999999999993</v>
      </c>
      <c r="C31">
        <v>186443210</v>
      </c>
      <c r="D31">
        <v>6405669.0999999996</v>
      </c>
      <c r="E31">
        <f t="shared" si="0"/>
        <v>932216.1</v>
      </c>
      <c r="F31">
        <f t="shared" si="1"/>
        <v>105011</v>
      </c>
      <c r="G31">
        <f t="shared" si="2"/>
        <v>149.80000000000001</v>
      </c>
      <c r="H31">
        <f t="shared" si="3"/>
        <v>27.8</v>
      </c>
      <c r="I31">
        <f t="shared" si="4"/>
        <v>65.188999999999993</v>
      </c>
      <c r="J31">
        <v>400</v>
      </c>
      <c r="K31">
        <v>122</v>
      </c>
      <c r="L31">
        <v>12.5</v>
      </c>
      <c r="M31">
        <v>18</v>
      </c>
      <c r="N31">
        <v>77.599999999999994</v>
      </c>
    </row>
    <row r="32" spans="1:14" x14ac:dyDescent="0.3">
      <c r="A32" t="s">
        <v>72</v>
      </c>
      <c r="B32">
        <v>9104.2999999999993</v>
      </c>
      <c r="C32">
        <v>197109880</v>
      </c>
      <c r="D32">
        <v>6877375.5</v>
      </c>
      <c r="E32">
        <f t="shared" si="0"/>
        <v>985549.4</v>
      </c>
      <c r="F32">
        <f t="shared" si="1"/>
        <v>132257.20000000001</v>
      </c>
      <c r="G32">
        <f t="shared" si="2"/>
        <v>147.1</v>
      </c>
      <c r="H32">
        <f t="shared" si="3"/>
        <v>27.5</v>
      </c>
      <c r="I32">
        <f t="shared" si="4"/>
        <v>71.468999999999994</v>
      </c>
      <c r="J32">
        <v>400</v>
      </c>
      <c r="K32">
        <v>104</v>
      </c>
      <c r="L32">
        <v>14.5</v>
      </c>
      <c r="M32">
        <v>18</v>
      </c>
      <c r="N32">
        <v>79.8</v>
      </c>
    </row>
    <row r="40" spans="3:4" x14ac:dyDescent="0.3">
      <c r="C40" s="1"/>
      <c r="D40" s="1"/>
    </row>
    <row r="41" spans="3:4" x14ac:dyDescent="0.3">
      <c r="C41" s="1"/>
      <c r="D41" s="1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60672-38BB-4912-8549-6AF2EC95C28A}">
  <dimension ref="A1:P147"/>
  <sheetViews>
    <sheetView topLeftCell="A4" zoomScaleNormal="100" workbookViewId="0">
      <selection activeCell="N9" sqref="N9"/>
    </sheetView>
  </sheetViews>
  <sheetFormatPr defaultRowHeight="14" x14ac:dyDescent="0.3"/>
  <cols>
    <col min="1" max="1" width="12.75" style="6" customWidth="1"/>
  </cols>
  <sheetData>
    <row r="1" spans="1:16" x14ac:dyDescent="0.3">
      <c r="A1" s="2" t="s">
        <v>96</v>
      </c>
      <c r="B1" s="3" t="s">
        <v>97</v>
      </c>
      <c r="C1" s="3" t="s">
        <v>114</v>
      </c>
      <c r="D1" s="3" t="s">
        <v>116</v>
      </c>
      <c r="E1" s="3" t="s">
        <v>118</v>
      </c>
      <c r="F1" s="3" t="s">
        <v>124</v>
      </c>
      <c r="G1" s="3" t="s">
        <v>120</v>
      </c>
      <c r="H1" s="3" t="s">
        <v>122</v>
      </c>
      <c r="I1" s="3" t="s">
        <v>126</v>
      </c>
      <c r="J1" s="3" t="s">
        <v>103</v>
      </c>
      <c r="K1" s="3" t="s">
        <v>104</v>
      </c>
      <c r="L1" s="3" t="s">
        <v>109</v>
      </c>
      <c r="M1" s="3" t="s">
        <v>106</v>
      </c>
      <c r="N1" s="3" t="s">
        <v>107</v>
      </c>
    </row>
    <row r="2" spans="1:16" x14ac:dyDescent="0.3">
      <c r="A2" s="6" t="s">
        <v>203</v>
      </c>
      <c r="B2" s="4">
        <v>113.2</v>
      </c>
      <c r="C2" s="4">
        <v>4002</v>
      </c>
      <c r="D2" s="4">
        <v>4002</v>
      </c>
      <c r="E2">
        <f t="shared" ref="E2:E33" si="0">ROUND(C2/J2*2,1)</f>
        <v>400.2</v>
      </c>
      <c r="F2">
        <f t="shared" ref="F2:F33" si="1">ROUND(D2/K2*2,1)</f>
        <v>400.2</v>
      </c>
      <c r="G2">
        <f>ROUND((C2/B2)^0.5,1)</f>
        <v>5.9</v>
      </c>
      <c r="H2">
        <f>ROUND((D2/B2)^0.5,1)</f>
        <v>5.9</v>
      </c>
      <c r="I2" s="4">
        <f>ROUND(B2*0.00785,3)</f>
        <v>0.88900000000000001</v>
      </c>
      <c r="J2" s="4">
        <v>20</v>
      </c>
      <c r="K2" s="4">
        <v>20</v>
      </c>
      <c r="L2" s="4">
        <v>3</v>
      </c>
      <c r="M2" s="4">
        <v>14</v>
      </c>
      <c r="N2" s="4">
        <v>14</v>
      </c>
      <c r="O2" s="4"/>
      <c r="P2" s="4"/>
    </row>
    <row r="3" spans="1:16" x14ac:dyDescent="0.3">
      <c r="A3" s="6" t="s">
        <v>204</v>
      </c>
      <c r="B3" s="4">
        <v>145.9</v>
      </c>
      <c r="C3" s="4">
        <v>4965.5</v>
      </c>
      <c r="D3" s="4">
        <v>4965.5</v>
      </c>
      <c r="E3">
        <f t="shared" si="0"/>
        <v>496.6</v>
      </c>
      <c r="F3">
        <f t="shared" si="1"/>
        <v>496.6</v>
      </c>
      <c r="G3">
        <f t="shared" ref="G3:G66" si="2">ROUND((C3/B3)^0.5,1)</f>
        <v>5.8</v>
      </c>
      <c r="H3">
        <f t="shared" ref="H3:H66" si="3">ROUND((D3/B3)^0.5,1)</f>
        <v>5.8</v>
      </c>
      <c r="I3" s="4">
        <f t="shared" ref="I3:I66" si="4">ROUND(B3*0.00785,3)</f>
        <v>1.145</v>
      </c>
      <c r="J3" s="4">
        <v>20</v>
      </c>
      <c r="K3" s="4">
        <v>20</v>
      </c>
      <c r="L3" s="4">
        <v>4</v>
      </c>
      <c r="M3" s="4">
        <v>13.6</v>
      </c>
      <c r="N3" s="4">
        <v>13.6</v>
      </c>
      <c r="O3" s="4"/>
      <c r="P3" s="4"/>
    </row>
    <row r="4" spans="1:16" x14ac:dyDescent="0.3">
      <c r="A4" s="6" t="s">
        <v>205</v>
      </c>
      <c r="B4" s="4">
        <v>143.19999999999999</v>
      </c>
      <c r="C4" s="4">
        <v>8167.5</v>
      </c>
      <c r="D4" s="4">
        <v>8167.5</v>
      </c>
      <c r="E4">
        <f t="shared" si="0"/>
        <v>653.4</v>
      </c>
      <c r="F4">
        <f t="shared" si="1"/>
        <v>653.4</v>
      </c>
      <c r="G4">
        <f t="shared" si="2"/>
        <v>7.6</v>
      </c>
      <c r="H4">
        <f t="shared" si="3"/>
        <v>7.6</v>
      </c>
      <c r="I4" s="4">
        <f t="shared" si="4"/>
        <v>1.1240000000000001</v>
      </c>
      <c r="J4" s="4">
        <v>25</v>
      </c>
      <c r="K4" s="4">
        <v>25</v>
      </c>
      <c r="L4" s="4">
        <v>3</v>
      </c>
      <c r="M4" s="4">
        <v>17.7</v>
      </c>
      <c r="N4" s="4">
        <v>17.7</v>
      </c>
      <c r="O4" s="4"/>
      <c r="P4" s="4"/>
    </row>
    <row r="5" spans="1:16" x14ac:dyDescent="0.3">
      <c r="A5" s="6" t="s">
        <v>206</v>
      </c>
      <c r="B5" s="4">
        <v>185.9</v>
      </c>
      <c r="C5" s="4">
        <v>10259.9</v>
      </c>
      <c r="D5" s="4">
        <v>10259.9</v>
      </c>
      <c r="E5">
        <f t="shared" si="0"/>
        <v>820.8</v>
      </c>
      <c r="F5">
        <f t="shared" si="1"/>
        <v>820.8</v>
      </c>
      <c r="G5">
        <f t="shared" si="2"/>
        <v>7.4</v>
      </c>
      <c r="H5">
        <f t="shared" si="3"/>
        <v>7.4</v>
      </c>
      <c r="I5" s="4">
        <f t="shared" si="4"/>
        <v>1.4590000000000001</v>
      </c>
      <c r="J5" s="4">
        <v>25</v>
      </c>
      <c r="K5" s="4">
        <v>25</v>
      </c>
      <c r="L5" s="4">
        <v>4</v>
      </c>
      <c r="M5" s="4">
        <v>17.399999999999999</v>
      </c>
      <c r="N5" s="4">
        <v>17.399999999999999</v>
      </c>
      <c r="O5" s="4"/>
      <c r="P5" s="4"/>
    </row>
    <row r="6" spans="1:16" x14ac:dyDescent="0.3">
      <c r="A6" s="6" t="s">
        <v>207</v>
      </c>
      <c r="B6" s="4">
        <v>174.9</v>
      </c>
      <c r="C6" s="4">
        <v>14568.8</v>
      </c>
      <c r="D6" s="4">
        <v>14568.8</v>
      </c>
      <c r="E6">
        <f t="shared" si="0"/>
        <v>971.3</v>
      </c>
      <c r="F6">
        <f t="shared" si="1"/>
        <v>971.3</v>
      </c>
      <c r="G6">
        <f t="shared" si="2"/>
        <v>9.1</v>
      </c>
      <c r="H6">
        <f t="shared" si="3"/>
        <v>9.1</v>
      </c>
      <c r="I6" s="4">
        <f t="shared" si="4"/>
        <v>1.373</v>
      </c>
      <c r="J6" s="4">
        <v>30</v>
      </c>
      <c r="K6" s="4">
        <v>30</v>
      </c>
      <c r="L6" s="4">
        <v>3</v>
      </c>
      <c r="M6" s="4">
        <v>21.5</v>
      </c>
      <c r="N6" s="4">
        <v>21.5</v>
      </c>
      <c r="O6" s="4"/>
      <c r="P6" s="4"/>
    </row>
    <row r="7" spans="1:16" x14ac:dyDescent="0.3">
      <c r="A7" s="6" t="s">
        <v>208</v>
      </c>
      <c r="B7" s="4">
        <v>227.6</v>
      </c>
      <c r="C7" s="4">
        <v>18448.599999999999</v>
      </c>
      <c r="D7" s="4">
        <v>18448.599999999999</v>
      </c>
      <c r="E7">
        <f t="shared" si="0"/>
        <v>1229.9000000000001</v>
      </c>
      <c r="F7">
        <f t="shared" si="1"/>
        <v>1229.9000000000001</v>
      </c>
      <c r="G7">
        <f t="shared" si="2"/>
        <v>9</v>
      </c>
      <c r="H7">
        <f t="shared" si="3"/>
        <v>9</v>
      </c>
      <c r="I7" s="4">
        <f t="shared" si="4"/>
        <v>1.7869999999999999</v>
      </c>
      <c r="J7" s="4">
        <v>30</v>
      </c>
      <c r="K7" s="4">
        <v>30</v>
      </c>
      <c r="L7" s="4">
        <v>4</v>
      </c>
      <c r="M7" s="4">
        <v>21.1</v>
      </c>
      <c r="N7" s="4">
        <v>21.1</v>
      </c>
      <c r="O7" s="4"/>
      <c r="P7" s="4"/>
    </row>
    <row r="8" spans="1:16" x14ac:dyDescent="0.3">
      <c r="A8" s="6" t="s">
        <v>209</v>
      </c>
      <c r="B8" s="4">
        <v>210.9</v>
      </c>
      <c r="C8" s="4">
        <v>25808.2</v>
      </c>
      <c r="D8" s="4">
        <v>25808.2</v>
      </c>
      <c r="E8">
        <f t="shared" si="0"/>
        <v>1433.8</v>
      </c>
      <c r="F8">
        <f t="shared" si="1"/>
        <v>1433.8</v>
      </c>
      <c r="G8">
        <f t="shared" si="2"/>
        <v>11.1</v>
      </c>
      <c r="H8">
        <f t="shared" si="3"/>
        <v>11.1</v>
      </c>
      <c r="I8" s="4">
        <f t="shared" si="4"/>
        <v>1.6559999999999999</v>
      </c>
      <c r="J8" s="4">
        <v>36</v>
      </c>
      <c r="K8" s="4">
        <v>36</v>
      </c>
      <c r="L8" s="4">
        <v>3</v>
      </c>
      <c r="M8" s="4">
        <v>26</v>
      </c>
      <c r="N8" s="4">
        <v>26</v>
      </c>
      <c r="O8" s="4"/>
      <c r="P8" s="4"/>
    </row>
    <row r="9" spans="1:16" x14ac:dyDescent="0.3">
      <c r="A9" s="6" t="s">
        <v>210</v>
      </c>
      <c r="B9" s="4">
        <v>275.60000000000002</v>
      </c>
      <c r="C9" s="4">
        <v>32939.5</v>
      </c>
      <c r="D9" s="4">
        <v>32939.5</v>
      </c>
      <c r="E9">
        <f t="shared" si="0"/>
        <v>1830</v>
      </c>
      <c r="F9">
        <f t="shared" si="1"/>
        <v>1830</v>
      </c>
      <c r="G9">
        <f t="shared" si="2"/>
        <v>10.9</v>
      </c>
      <c r="H9">
        <f t="shared" si="3"/>
        <v>10.9</v>
      </c>
      <c r="I9" s="4">
        <f t="shared" si="4"/>
        <v>2.1629999999999998</v>
      </c>
      <c r="J9" s="4">
        <v>36</v>
      </c>
      <c r="K9" s="4">
        <v>36</v>
      </c>
      <c r="L9" s="4">
        <v>4</v>
      </c>
      <c r="M9" s="4">
        <v>25.6</v>
      </c>
      <c r="N9" s="4">
        <v>25.6</v>
      </c>
      <c r="O9" s="4"/>
      <c r="P9" s="4"/>
    </row>
    <row r="10" spans="1:16" x14ac:dyDescent="0.3">
      <c r="A10" s="6" t="s">
        <v>211</v>
      </c>
      <c r="B10" s="4">
        <v>338.2</v>
      </c>
      <c r="C10" s="4">
        <v>39483.300000000003</v>
      </c>
      <c r="D10" s="4">
        <v>39483.300000000003</v>
      </c>
      <c r="E10">
        <f t="shared" si="0"/>
        <v>2193.5</v>
      </c>
      <c r="F10">
        <f t="shared" si="1"/>
        <v>2193.5</v>
      </c>
      <c r="G10">
        <f t="shared" si="2"/>
        <v>10.8</v>
      </c>
      <c r="H10">
        <f t="shared" si="3"/>
        <v>10.8</v>
      </c>
      <c r="I10" s="4">
        <f t="shared" si="4"/>
        <v>2.6549999999999998</v>
      </c>
      <c r="J10" s="4">
        <v>36</v>
      </c>
      <c r="K10" s="4">
        <v>36</v>
      </c>
      <c r="L10" s="4">
        <v>5</v>
      </c>
      <c r="M10" s="4">
        <v>25.3</v>
      </c>
      <c r="N10" s="4">
        <v>25.3</v>
      </c>
      <c r="O10" s="4"/>
      <c r="P10" s="4"/>
    </row>
    <row r="11" spans="1:16" x14ac:dyDescent="0.3">
      <c r="A11" s="6" t="s">
        <v>212</v>
      </c>
      <c r="B11" s="4">
        <v>235.9</v>
      </c>
      <c r="C11" s="4">
        <v>35886.6</v>
      </c>
      <c r="D11" s="4">
        <v>35886.6</v>
      </c>
      <c r="E11">
        <f t="shared" si="0"/>
        <v>1794.3</v>
      </c>
      <c r="F11">
        <f t="shared" si="1"/>
        <v>1794.3</v>
      </c>
      <c r="G11">
        <f t="shared" si="2"/>
        <v>12.3</v>
      </c>
      <c r="H11">
        <f t="shared" si="3"/>
        <v>12.3</v>
      </c>
      <c r="I11" s="4">
        <f t="shared" si="4"/>
        <v>1.8520000000000001</v>
      </c>
      <c r="J11" s="4">
        <v>40</v>
      </c>
      <c r="K11" s="4">
        <v>40</v>
      </c>
      <c r="L11" s="4">
        <v>3</v>
      </c>
      <c r="M11" s="4">
        <v>29.1</v>
      </c>
      <c r="N11" s="4">
        <v>29.1</v>
      </c>
      <c r="O11" s="4"/>
      <c r="P11" s="4"/>
    </row>
    <row r="12" spans="1:16" x14ac:dyDescent="0.3">
      <c r="A12" s="6" t="s">
        <v>213</v>
      </c>
      <c r="B12" s="4">
        <v>308.60000000000002</v>
      </c>
      <c r="C12" s="4">
        <v>45969.8</v>
      </c>
      <c r="D12" s="4">
        <v>45969.8</v>
      </c>
      <c r="E12">
        <f t="shared" si="0"/>
        <v>2298.5</v>
      </c>
      <c r="F12">
        <f t="shared" si="1"/>
        <v>2298.5</v>
      </c>
      <c r="G12">
        <f t="shared" si="2"/>
        <v>12.2</v>
      </c>
      <c r="H12">
        <f t="shared" si="3"/>
        <v>12.2</v>
      </c>
      <c r="I12" s="4">
        <f t="shared" si="4"/>
        <v>2.423</v>
      </c>
      <c r="J12" s="4">
        <v>40</v>
      </c>
      <c r="K12" s="4">
        <v>40</v>
      </c>
      <c r="L12" s="4">
        <v>4</v>
      </c>
      <c r="M12" s="4">
        <v>28.7</v>
      </c>
      <c r="N12" s="4">
        <v>28.7</v>
      </c>
      <c r="O12" s="4"/>
      <c r="P12" s="4"/>
    </row>
    <row r="13" spans="1:16" x14ac:dyDescent="0.3">
      <c r="A13" s="6" t="s">
        <v>214</v>
      </c>
      <c r="B13" s="4">
        <v>379.2</v>
      </c>
      <c r="C13" s="4">
        <v>55298.2</v>
      </c>
      <c r="D13" s="4">
        <v>55298.2</v>
      </c>
      <c r="E13">
        <f t="shared" si="0"/>
        <v>2764.9</v>
      </c>
      <c r="F13">
        <f t="shared" si="1"/>
        <v>2764.9</v>
      </c>
      <c r="G13">
        <f t="shared" si="2"/>
        <v>12.1</v>
      </c>
      <c r="H13">
        <f t="shared" si="3"/>
        <v>12.1</v>
      </c>
      <c r="I13" s="4">
        <f t="shared" si="4"/>
        <v>2.9769999999999999</v>
      </c>
      <c r="J13" s="4">
        <v>40</v>
      </c>
      <c r="K13" s="4">
        <v>40</v>
      </c>
      <c r="L13" s="4">
        <v>5</v>
      </c>
      <c r="M13" s="4">
        <v>28.3</v>
      </c>
      <c r="N13" s="4">
        <v>28.3</v>
      </c>
      <c r="O13" s="4"/>
      <c r="P13" s="4"/>
    </row>
    <row r="14" spans="1:16" x14ac:dyDescent="0.3">
      <c r="A14" s="6" t="s">
        <v>215</v>
      </c>
      <c r="B14" s="4">
        <v>265.89999999999998</v>
      </c>
      <c r="C14" s="4">
        <v>51731.9</v>
      </c>
      <c r="D14" s="4">
        <v>51731.9</v>
      </c>
      <c r="E14">
        <f t="shared" si="0"/>
        <v>2299.1999999999998</v>
      </c>
      <c r="F14">
        <f t="shared" si="1"/>
        <v>2299.1999999999998</v>
      </c>
      <c r="G14">
        <f t="shared" si="2"/>
        <v>13.9</v>
      </c>
      <c r="H14">
        <f t="shared" si="3"/>
        <v>13.9</v>
      </c>
      <c r="I14" s="4">
        <f t="shared" si="4"/>
        <v>2.0870000000000002</v>
      </c>
      <c r="J14" s="4">
        <v>45</v>
      </c>
      <c r="K14" s="4">
        <v>45</v>
      </c>
      <c r="L14" s="4">
        <v>3</v>
      </c>
      <c r="M14" s="4">
        <v>32.799999999999997</v>
      </c>
      <c r="N14" s="4">
        <v>32.799999999999997</v>
      </c>
      <c r="O14" s="4"/>
      <c r="P14" s="4"/>
    </row>
    <row r="15" spans="1:16" x14ac:dyDescent="0.3">
      <c r="A15" s="6" t="s">
        <v>216</v>
      </c>
      <c r="B15" s="4">
        <v>348.6</v>
      </c>
      <c r="C15" s="4">
        <v>66544.100000000006</v>
      </c>
      <c r="D15" s="4">
        <v>66544.100000000006</v>
      </c>
      <c r="E15">
        <f t="shared" si="0"/>
        <v>2957.5</v>
      </c>
      <c r="F15">
        <f t="shared" si="1"/>
        <v>2957.5</v>
      </c>
      <c r="G15">
        <f t="shared" si="2"/>
        <v>13.8</v>
      </c>
      <c r="H15">
        <f t="shared" si="3"/>
        <v>13.8</v>
      </c>
      <c r="I15" s="4">
        <f t="shared" si="4"/>
        <v>2.7370000000000001</v>
      </c>
      <c r="J15" s="4">
        <v>45</v>
      </c>
      <c r="K15" s="4">
        <v>45</v>
      </c>
      <c r="L15" s="4">
        <v>4</v>
      </c>
      <c r="M15" s="4">
        <v>32.4</v>
      </c>
      <c r="N15" s="4">
        <v>32.4</v>
      </c>
      <c r="O15" s="4"/>
      <c r="P15" s="4"/>
    </row>
    <row r="16" spans="1:16" x14ac:dyDescent="0.3">
      <c r="A16" s="6" t="s">
        <v>217</v>
      </c>
      <c r="B16" s="4">
        <v>429.2</v>
      </c>
      <c r="C16" s="4">
        <v>80362</v>
      </c>
      <c r="D16" s="4">
        <v>80362</v>
      </c>
      <c r="E16">
        <f t="shared" si="0"/>
        <v>3571.6</v>
      </c>
      <c r="F16">
        <f t="shared" si="1"/>
        <v>3571.6</v>
      </c>
      <c r="G16">
        <f t="shared" si="2"/>
        <v>13.7</v>
      </c>
      <c r="H16">
        <f t="shared" si="3"/>
        <v>13.7</v>
      </c>
      <c r="I16" s="4">
        <f t="shared" si="4"/>
        <v>3.3690000000000002</v>
      </c>
      <c r="J16" s="4">
        <v>45</v>
      </c>
      <c r="K16" s="4">
        <v>45</v>
      </c>
      <c r="L16" s="4">
        <v>5</v>
      </c>
      <c r="M16" s="4">
        <v>32</v>
      </c>
      <c r="N16" s="4">
        <v>32</v>
      </c>
      <c r="O16" s="4"/>
      <c r="P16" s="4"/>
    </row>
    <row r="17" spans="1:16" x14ac:dyDescent="0.3">
      <c r="A17" s="6" t="s">
        <v>218</v>
      </c>
      <c r="B17" s="4">
        <v>507.6</v>
      </c>
      <c r="C17" s="4">
        <v>93261.1</v>
      </c>
      <c r="D17" s="4">
        <v>93261.1</v>
      </c>
      <c r="E17">
        <f t="shared" si="0"/>
        <v>4144.8999999999996</v>
      </c>
      <c r="F17">
        <f t="shared" si="1"/>
        <v>4144.8999999999996</v>
      </c>
      <c r="G17">
        <f t="shared" si="2"/>
        <v>13.6</v>
      </c>
      <c r="H17">
        <f t="shared" si="3"/>
        <v>13.6</v>
      </c>
      <c r="I17" s="4">
        <f t="shared" si="4"/>
        <v>3.9849999999999999</v>
      </c>
      <c r="J17" s="4">
        <v>45</v>
      </c>
      <c r="K17" s="4">
        <v>45</v>
      </c>
      <c r="L17" s="4">
        <v>6</v>
      </c>
      <c r="M17" s="4">
        <v>31.7</v>
      </c>
      <c r="N17" s="4">
        <v>31.7</v>
      </c>
      <c r="O17" s="4"/>
      <c r="P17" s="4"/>
    </row>
    <row r="18" spans="1:16" x14ac:dyDescent="0.3">
      <c r="A18" s="6" t="s">
        <v>219</v>
      </c>
      <c r="B18" s="4">
        <v>297.10000000000002</v>
      </c>
      <c r="C18" s="4">
        <v>71751.5</v>
      </c>
      <c r="D18" s="4">
        <v>71751.5</v>
      </c>
      <c r="E18">
        <f t="shared" si="0"/>
        <v>2870.1</v>
      </c>
      <c r="F18">
        <f t="shared" si="1"/>
        <v>2870.1</v>
      </c>
      <c r="G18">
        <f t="shared" si="2"/>
        <v>15.5</v>
      </c>
      <c r="H18">
        <f t="shared" si="3"/>
        <v>15.5</v>
      </c>
      <c r="I18" s="4">
        <f t="shared" si="4"/>
        <v>2.3319999999999999</v>
      </c>
      <c r="J18" s="4">
        <v>50</v>
      </c>
      <c r="K18" s="4">
        <v>50</v>
      </c>
      <c r="L18" s="4">
        <v>3</v>
      </c>
      <c r="M18" s="4">
        <v>36.6</v>
      </c>
      <c r="N18" s="4">
        <v>36.6</v>
      </c>
      <c r="O18" s="4"/>
      <c r="P18" s="4"/>
    </row>
    <row r="19" spans="1:16" x14ac:dyDescent="0.3">
      <c r="A19" s="6" t="s">
        <v>220</v>
      </c>
      <c r="B19" s="4">
        <v>389.7</v>
      </c>
      <c r="C19" s="4">
        <v>92573.3</v>
      </c>
      <c r="D19" s="4">
        <v>92573.3</v>
      </c>
      <c r="E19">
        <f t="shared" si="0"/>
        <v>3702.9</v>
      </c>
      <c r="F19">
        <f t="shared" si="1"/>
        <v>3702.9</v>
      </c>
      <c r="G19">
        <f t="shared" si="2"/>
        <v>15.4</v>
      </c>
      <c r="H19">
        <f t="shared" si="3"/>
        <v>15.4</v>
      </c>
      <c r="I19" s="4">
        <f t="shared" si="4"/>
        <v>3.0590000000000002</v>
      </c>
      <c r="J19" s="4">
        <v>50</v>
      </c>
      <c r="K19" s="4">
        <v>50</v>
      </c>
      <c r="L19" s="4">
        <v>4</v>
      </c>
      <c r="M19" s="4">
        <v>36.200000000000003</v>
      </c>
      <c r="N19" s="4">
        <v>36.200000000000003</v>
      </c>
      <c r="O19" s="4"/>
      <c r="P19" s="4"/>
    </row>
    <row r="20" spans="1:16" x14ac:dyDescent="0.3">
      <c r="A20" s="6" t="s">
        <v>221</v>
      </c>
      <c r="B20" s="4">
        <v>480.3</v>
      </c>
      <c r="C20" s="4">
        <v>112128.8</v>
      </c>
      <c r="D20" s="4">
        <v>112128.8</v>
      </c>
      <c r="E20">
        <f t="shared" si="0"/>
        <v>4485.2</v>
      </c>
      <c r="F20">
        <f t="shared" si="1"/>
        <v>4485.2</v>
      </c>
      <c r="G20">
        <f t="shared" si="2"/>
        <v>15.3</v>
      </c>
      <c r="H20">
        <f t="shared" si="3"/>
        <v>15.3</v>
      </c>
      <c r="I20" s="4">
        <f t="shared" si="4"/>
        <v>3.77</v>
      </c>
      <c r="J20" s="4">
        <v>50</v>
      </c>
      <c r="K20" s="4">
        <v>50</v>
      </c>
      <c r="L20" s="4">
        <v>5</v>
      </c>
      <c r="M20" s="4">
        <v>35.799999999999997</v>
      </c>
      <c r="N20" s="4">
        <v>35.799999999999997</v>
      </c>
      <c r="O20" s="4"/>
      <c r="P20" s="4"/>
    </row>
    <row r="21" spans="1:16" x14ac:dyDescent="0.3">
      <c r="A21" s="6" t="s">
        <v>222</v>
      </c>
      <c r="B21" s="4">
        <v>568.79999999999995</v>
      </c>
      <c r="C21" s="4">
        <v>130504</v>
      </c>
      <c r="D21" s="4">
        <v>130504</v>
      </c>
      <c r="E21">
        <f t="shared" si="0"/>
        <v>5220.2</v>
      </c>
      <c r="F21">
        <f t="shared" si="1"/>
        <v>5220.2</v>
      </c>
      <c r="G21">
        <f t="shared" si="2"/>
        <v>15.1</v>
      </c>
      <c r="H21">
        <f t="shared" si="3"/>
        <v>15.1</v>
      </c>
      <c r="I21" s="4">
        <f t="shared" si="4"/>
        <v>4.4649999999999999</v>
      </c>
      <c r="J21" s="4">
        <v>50</v>
      </c>
      <c r="K21" s="4">
        <v>50</v>
      </c>
      <c r="L21" s="4">
        <v>6</v>
      </c>
      <c r="M21" s="4">
        <v>35.4</v>
      </c>
      <c r="N21" s="4">
        <v>35.4</v>
      </c>
      <c r="O21" s="4"/>
      <c r="P21" s="4"/>
    </row>
    <row r="22" spans="1:16" x14ac:dyDescent="0.3">
      <c r="A22" s="6" t="s">
        <v>223</v>
      </c>
      <c r="B22" s="4">
        <v>334.3</v>
      </c>
      <c r="C22" s="4">
        <v>101884</v>
      </c>
      <c r="D22" s="4">
        <v>101884</v>
      </c>
      <c r="E22">
        <f t="shared" si="0"/>
        <v>3638.7</v>
      </c>
      <c r="F22">
        <f t="shared" si="1"/>
        <v>3638.7</v>
      </c>
      <c r="G22">
        <f t="shared" si="2"/>
        <v>17.5</v>
      </c>
      <c r="H22">
        <f t="shared" si="3"/>
        <v>17.5</v>
      </c>
      <c r="I22" s="4">
        <f t="shared" si="4"/>
        <v>2.6240000000000001</v>
      </c>
      <c r="J22" s="4">
        <v>56</v>
      </c>
      <c r="K22" s="4">
        <v>56</v>
      </c>
      <c r="L22" s="4">
        <v>3</v>
      </c>
      <c r="M22" s="4">
        <v>41.2</v>
      </c>
      <c r="N22" s="4">
        <v>41.2</v>
      </c>
      <c r="O22" s="4"/>
      <c r="P22" s="4"/>
    </row>
    <row r="23" spans="1:16" x14ac:dyDescent="0.3">
      <c r="A23" s="6" t="s">
        <v>224</v>
      </c>
      <c r="B23" s="4">
        <v>439</v>
      </c>
      <c r="C23" s="4">
        <v>131839.9</v>
      </c>
      <c r="D23" s="4">
        <v>131839.9</v>
      </c>
      <c r="E23">
        <f t="shared" si="0"/>
        <v>4708.6000000000004</v>
      </c>
      <c r="F23">
        <f t="shared" si="1"/>
        <v>4708.6000000000004</v>
      </c>
      <c r="G23">
        <f t="shared" si="2"/>
        <v>17.3</v>
      </c>
      <c r="H23">
        <f t="shared" si="3"/>
        <v>17.3</v>
      </c>
      <c r="I23" s="4">
        <f t="shared" si="4"/>
        <v>3.4460000000000002</v>
      </c>
      <c r="J23" s="4">
        <v>56</v>
      </c>
      <c r="K23" s="4">
        <v>56</v>
      </c>
      <c r="L23" s="4">
        <v>4</v>
      </c>
      <c r="M23" s="4">
        <v>40.700000000000003</v>
      </c>
      <c r="N23" s="4">
        <v>40.700000000000003</v>
      </c>
      <c r="O23" s="4"/>
      <c r="P23" s="4"/>
    </row>
    <row r="24" spans="1:16" x14ac:dyDescent="0.3">
      <c r="A24" s="6" t="s">
        <v>225</v>
      </c>
      <c r="B24" s="4">
        <v>541.5</v>
      </c>
      <c r="C24" s="4">
        <v>160159.79999999999</v>
      </c>
      <c r="D24" s="4">
        <v>160159.79999999999</v>
      </c>
      <c r="E24">
        <f t="shared" si="0"/>
        <v>5720</v>
      </c>
      <c r="F24">
        <f t="shared" si="1"/>
        <v>5720</v>
      </c>
      <c r="G24">
        <f t="shared" si="2"/>
        <v>17.2</v>
      </c>
      <c r="H24">
        <f t="shared" si="3"/>
        <v>17.2</v>
      </c>
      <c r="I24" s="4">
        <f t="shared" si="4"/>
        <v>4.2510000000000003</v>
      </c>
      <c r="J24" s="4">
        <v>56</v>
      </c>
      <c r="K24" s="4">
        <v>56</v>
      </c>
      <c r="L24" s="4">
        <v>5</v>
      </c>
      <c r="M24" s="4">
        <v>40.299999999999997</v>
      </c>
      <c r="N24" s="4">
        <v>40.299999999999997</v>
      </c>
      <c r="O24" s="4"/>
      <c r="P24" s="4"/>
    </row>
    <row r="25" spans="1:16" x14ac:dyDescent="0.3">
      <c r="A25" s="6" t="s">
        <v>226</v>
      </c>
      <c r="B25" s="4">
        <v>836.7</v>
      </c>
      <c r="C25" s="4">
        <v>236267</v>
      </c>
      <c r="D25" s="4">
        <v>236267</v>
      </c>
      <c r="E25">
        <f t="shared" si="0"/>
        <v>8438.1</v>
      </c>
      <c r="F25">
        <f t="shared" si="1"/>
        <v>8438.1</v>
      </c>
      <c r="G25">
        <f t="shared" si="2"/>
        <v>16.8</v>
      </c>
      <c r="H25">
        <f t="shared" si="3"/>
        <v>16.8</v>
      </c>
      <c r="I25" s="4">
        <f t="shared" si="4"/>
        <v>6.5679999999999996</v>
      </c>
      <c r="J25" s="4">
        <v>56</v>
      </c>
      <c r="K25" s="4">
        <v>56</v>
      </c>
      <c r="L25" s="4">
        <v>8</v>
      </c>
      <c r="M25" s="4">
        <v>39.200000000000003</v>
      </c>
      <c r="N25" s="4">
        <v>39.200000000000003</v>
      </c>
      <c r="O25" s="4"/>
      <c r="P25" s="4"/>
    </row>
    <row r="26" spans="1:16" x14ac:dyDescent="0.3">
      <c r="A26" s="6" t="s">
        <v>227</v>
      </c>
      <c r="B26" s="4">
        <v>497.8</v>
      </c>
      <c r="C26" s="4">
        <v>190275</v>
      </c>
      <c r="D26" s="4">
        <v>190275</v>
      </c>
      <c r="E26">
        <f t="shared" si="0"/>
        <v>6040.5</v>
      </c>
      <c r="F26">
        <f t="shared" si="1"/>
        <v>6040.5</v>
      </c>
      <c r="G26">
        <f t="shared" si="2"/>
        <v>19.600000000000001</v>
      </c>
      <c r="H26">
        <f t="shared" si="3"/>
        <v>19.600000000000001</v>
      </c>
      <c r="I26" s="4">
        <f t="shared" si="4"/>
        <v>3.9079999999999999</v>
      </c>
      <c r="J26" s="4">
        <v>63</v>
      </c>
      <c r="K26" s="4">
        <v>63</v>
      </c>
      <c r="L26" s="4">
        <v>4</v>
      </c>
      <c r="M26" s="4">
        <v>46</v>
      </c>
      <c r="N26" s="4">
        <v>46</v>
      </c>
      <c r="O26" s="4"/>
      <c r="P26" s="4"/>
    </row>
    <row r="27" spans="1:16" x14ac:dyDescent="0.3">
      <c r="A27" s="6" t="s">
        <v>228</v>
      </c>
      <c r="B27" s="4">
        <v>614.29999999999995</v>
      </c>
      <c r="C27" s="4">
        <v>231734.39999999999</v>
      </c>
      <c r="D27" s="4">
        <v>231734.39999999999</v>
      </c>
      <c r="E27">
        <f t="shared" si="0"/>
        <v>7356.6</v>
      </c>
      <c r="F27">
        <f t="shared" si="1"/>
        <v>7356.6</v>
      </c>
      <c r="G27">
        <f t="shared" si="2"/>
        <v>19.399999999999999</v>
      </c>
      <c r="H27">
        <f t="shared" si="3"/>
        <v>19.399999999999999</v>
      </c>
      <c r="I27" s="4">
        <f t="shared" si="4"/>
        <v>4.8220000000000001</v>
      </c>
      <c r="J27" s="4">
        <v>63</v>
      </c>
      <c r="K27" s="4">
        <v>63</v>
      </c>
      <c r="L27" s="4">
        <v>5</v>
      </c>
      <c r="M27" s="4">
        <v>45.6</v>
      </c>
      <c r="N27" s="4">
        <v>45.6</v>
      </c>
      <c r="O27" s="4"/>
      <c r="P27" s="4"/>
    </row>
    <row r="28" spans="1:16" x14ac:dyDescent="0.3">
      <c r="A28" s="6" t="s">
        <v>229</v>
      </c>
      <c r="B28" s="4">
        <v>728.8</v>
      </c>
      <c r="C28" s="4">
        <v>271179.3</v>
      </c>
      <c r="D28" s="4">
        <v>271179.3</v>
      </c>
      <c r="E28">
        <f t="shared" si="0"/>
        <v>8608.9</v>
      </c>
      <c r="F28">
        <f t="shared" si="1"/>
        <v>8608.9</v>
      </c>
      <c r="G28">
        <f t="shared" si="2"/>
        <v>19.3</v>
      </c>
      <c r="H28">
        <f t="shared" si="3"/>
        <v>19.3</v>
      </c>
      <c r="I28" s="4">
        <f t="shared" si="4"/>
        <v>5.7210000000000001</v>
      </c>
      <c r="J28" s="4">
        <v>63</v>
      </c>
      <c r="K28" s="4">
        <v>63</v>
      </c>
      <c r="L28" s="4">
        <v>6</v>
      </c>
      <c r="M28" s="4">
        <v>45.2</v>
      </c>
      <c r="N28" s="4">
        <v>45.2</v>
      </c>
      <c r="O28" s="4"/>
      <c r="P28" s="4"/>
    </row>
    <row r="29" spans="1:16" x14ac:dyDescent="0.3">
      <c r="A29" s="6" t="s">
        <v>230</v>
      </c>
      <c r="B29" s="4">
        <v>951.5</v>
      </c>
      <c r="C29" s="4">
        <v>344457.5</v>
      </c>
      <c r="D29" s="4">
        <v>344457.5</v>
      </c>
      <c r="E29">
        <f t="shared" si="0"/>
        <v>10935.2</v>
      </c>
      <c r="F29">
        <f t="shared" si="1"/>
        <v>10935.2</v>
      </c>
      <c r="G29">
        <f t="shared" si="2"/>
        <v>19</v>
      </c>
      <c r="H29">
        <f t="shared" si="3"/>
        <v>19</v>
      </c>
      <c r="I29" s="4">
        <f t="shared" si="4"/>
        <v>7.4690000000000003</v>
      </c>
      <c r="J29" s="4">
        <v>63</v>
      </c>
      <c r="K29" s="4">
        <v>63</v>
      </c>
      <c r="L29" s="4">
        <v>8</v>
      </c>
      <c r="M29" s="4">
        <v>44.5</v>
      </c>
      <c r="N29" s="4">
        <v>44.5</v>
      </c>
      <c r="O29" s="4"/>
      <c r="P29" s="4"/>
    </row>
    <row r="30" spans="1:16" x14ac:dyDescent="0.3">
      <c r="A30" s="6" t="s">
        <v>231</v>
      </c>
      <c r="B30" s="4">
        <v>1165.7</v>
      </c>
      <c r="C30" s="4">
        <v>410941</v>
      </c>
      <c r="D30" s="4">
        <v>410941</v>
      </c>
      <c r="E30">
        <f t="shared" si="0"/>
        <v>13045.7</v>
      </c>
      <c r="F30">
        <f t="shared" si="1"/>
        <v>13045.7</v>
      </c>
      <c r="G30">
        <f t="shared" si="2"/>
        <v>18.8</v>
      </c>
      <c r="H30">
        <f t="shared" si="3"/>
        <v>18.8</v>
      </c>
      <c r="I30" s="4">
        <f t="shared" si="4"/>
        <v>9.1509999999999998</v>
      </c>
      <c r="J30" s="4">
        <v>63</v>
      </c>
      <c r="K30" s="4">
        <v>63</v>
      </c>
      <c r="L30" s="4">
        <v>10</v>
      </c>
      <c r="M30" s="4">
        <v>43.7</v>
      </c>
      <c r="N30" s="4">
        <v>43.7</v>
      </c>
      <c r="O30" s="4"/>
      <c r="P30" s="4"/>
    </row>
    <row r="31" spans="1:16" x14ac:dyDescent="0.3">
      <c r="A31" s="6" t="s">
        <v>232</v>
      </c>
      <c r="B31" s="4">
        <v>557</v>
      </c>
      <c r="C31" s="4">
        <v>263946</v>
      </c>
      <c r="D31" s="4">
        <v>263946</v>
      </c>
      <c r="E31">
        <f t="shared" si="0"/>
        <v>7541.3</v>
      </c>
      <c r="F31">
        <f t="shared" si="1"/>
        <v>7541.3</v>
      </c>
      <c r="G31">
        <f t="shared" si="2"/>
        <v>21.8</v>
      </c>
      <c r="H31">
        <f t="shared" si="3"/>
        <v>21.8</v>
      </c>
      <c r="I31" s="4">
        <f t="shared" si="4"/>
        <v>4.3719999999999999</v>
      </c>
      <c r="J31" s="4">
        <v>70</v>
      </c>
      <c r="K31" s="4">
        <v>70</v>
      </c>
      <c r="L31" s="4">
        <v>4</v>
      </c>
      <c r="M31" s="4">
        <v>51.4</v>
      </c>
      <c r="N31" s="4">
        <v>51.4</v>
      </c>
      <c r="O31" s="4"/>
      <c r="P31" s="4"/>
    </row>
    <row r="32" spans="1:16" x14ac:dyDescent="0.3">
      <c r="A32" s="6" t="s">
        <v>233</v>
      </c>
      <c r="B32" s="4">
        <v>687.5</v>
      </c>
      <c r="C32" s="4">
        <v>322100</v>
      </c>
      <c r="D32" s="4">
        <v>322100</v>
      </c>
      <c r="E32">
        <f t="shared" si="0"/>
        <v>9202.9</v>
      </c>
      <c r="F32">
        <f t="shared" si="1"/>
        <v>9202.9</v>
      </c>
      <c r="G32">
        <f t="shared" si="2"/>
        <v>21.6</v>
      </c>
      <c r="H32">
        <f t="shared" si="3"/>
        <v>21.6</v>
      </c>
      <c r="I32" s="4">
        <f t="shared" si="4"/>
        <v>5.3970000000000002</v>
      </c>
      <c r="J32" s="4">
        <v>70</v>
      </c>
      <c r="K32" s="4">
        <v>70</v>
      </c>
      <c r="L32" s="4">
        <v>5</v>
      </c>
      <c r="M32" s="4">
        <v>50.9</v>
      </c>
      <c r="N32" s="4">
        <v>50.9</v>
      </c>
      <c r="O32" s="4"/>
      <c r="P32" s="4"/>
    </row>
    <row r="33" spans="1:16" x14ac:dyDescent="0.3">
      <c r="A33" s="6" t="s">
        <v>234</v>
      </c>
      <c r="B33" s="4">
        <v>816</v>
      </c>
      <c r="C33" s="4">
        <v>377698</v>
      </c>
      <c r="D33" s="4">
        <v>377698</v>
      </c>
      <c r="E33">
        <f t="shared" si="0"/>
        <v>10791.4</v>
      </c>
      <c r="F33">
        <f t="shared" si="1"/>
        <v>10791.4</v>
      </c>
      <c r="G33">
        <f t="shared" si="2"/>
        <v>21.5</v>
      </c>
      <c r="H33">
        <f t="shared" si="3"/>
        <v>21.5</v>
      </c>
      <c r="I33" s="4">
        <f t="shared" si="4"/>
        <v>6.4059999999999997</v>
      </c>
      <c r="J33" s="4">
        <v>70</v>
      </c>
      <c r="K33" s="4">
        <v>70</v>
      </c>
      <c r="L33" s="4">
        <v>6</v>
      </c>
      <c r="M33" s="4">
        <v>50.5</v>
      </c>
      <c r="N33" s="4">
        <v>50.5</v>
      </c>
      <c r="O33" s="4"/>
      <c r="P33" s="4"/>
    </row>
    <row r="34" spans="1:16" x14ac:dyDescent="0.3">
      <c r="A34" s="6" t="s">
        <v>235</v>
      </c>
      <c r="B34" s="4">
        <v>942.4</v>
      </c>
      <c r="C34" s="4">
        <v>430863.7</v>
      </c>
      <c r="D34" s="4">
        <v>430863.7</v>
      </c>
      <c r="E34">
        <f t="shared" ref="E34:E65" si="5">ROUND(C34/J34*2,1)</f>
        <v>12310.4</v>
      </c>
      <c r="F34">
        <f t="shared" ref="F34:F65" si="6">ROUND(D34/K34*2,1)</f>
        <v>12310.4</v>
      </c>
      <c r="G34">
        <f t="shared" si="2"/>
        <v>21.4</v>
      </c>
      <c r="H34">
        <f t="shared" si="3"/>
        <v>21.4</v>
      </c>
      <c r="I34" s="4">
        <f t="shared" si="4"/>
        <v>7.3979999999999997</v>
      </c>
      <c r="J34" s="4">
        <v>70</v>
      </c>
      <c r="K34" s="4">
        <v>70</v>
      </c>
      <c r="L34" s="4">
        <v>7</v>
      </c>
      <c r="M34" s="4">
        <v>50.1</v>
      </c>
      <c r="N34" s="4">
        <v>50.1</v>
      </c>
      <c r="O34" s="4"/>
      <c r="P34" s="4"/>
    </row>
    <row r="35" spans="1:16" x14ac:dyDescent="0.3">
      <c r="A35" s="6" t="s">
        <v>236</v>
      </c>
      <c r="B35" s="4">
        <v>1066.7</v>
      </c>
      <c r="C35" s="4">
        <v>481716.7</v>
      </c>
      <c r="D35" s="4">
        <v>481716.7</v>
      </c>
      <c r="E35">
        <f t="shared" si="5"/>
        <v>13763.3</v>
      </c>
      <c r="F35">
        <f t="shared" si="6"/>
        <v>13763.3</v>
      </c>
      <c r="G35">
        <f t="shared" si="2"/>
        <v>21.3</v>
      </c>
      <c r="H35">
        <f t="shared" si="3"/>
        <v>21.3</v>
      </c>
      <c r="I35" s="4">
        <f t="shared" si="4"/>
        <v>8.3740000000000006</v>
      </c>
      <c r="J35" s="4">
        <v>70</v>
      </c>
      <c r="K35" s="4">
        <v>70</v>
      </c>
      <c r="L35" s="4">
        <v>8</v>
      </c>
      <c r="M35" s="4">
        <v>49.7</v>
      </c>
      <c r="N35" s="4">
        <v>49.7</v>
      </c>
      <c r="O35" s="4"/>
      <c r="P35" s="4"/>
    </row>
    <row r="36" spans="1:16" x14ac:dyDescent="0.3">
      <c r="A36" s="6" t="s">
        <v>237</v>
      </c>
      <c r="B36" s="4">
        <v>741.2</v>
      </c>
      <c r="C36" s="4">
        <v>399556.5</v>
      </c>
      <c r="D36" s="4">
        <v>399556.5</v>
      </c>
      <c r="E36">
        <f t="shared" si="5"/>
        <v>10654.8</v>
      </c>
      <c r="F36">
        <f t="shared" si="6"/>
        <v>10654.8</v>
      </c>
      <c r="G36">
        <f t="shared" si="2"/>
        <v>23.2</v>
      </c>
      <c r="H36">
        <f t="shared" si="3"/>
        <v>23.2</v>
      </c>
      <c r="I36" s="4">
        <f t="shared" si="4"/>
        <v>5.8179999999999996</v>
      </c>
      <c r="J36" s="4">
        <v>75</v>
      </c>
      <c r="K36" s="4">
        <v>75</v>
      </c>
      <c r="L36" s="4">
        <v>5</v>
      </c>
      <c r="M36" s="4">
        <v>54.7</v>
      </c>
      <c r="N36" s="4">
        <v>54.7</v>
      </c>
      <c r="O36" s="4"/>
      <c r="P36" s="4"/>
    </row>
    <row r="37" spans="1:16" x14ac:dyDescent="0.3">
      <c r="A37" s="6" t="s">
        <v>238</v>
      </c>
      <c r="B37" s="4">
        <v>879.7</v>
      </c>
      <c r="C37" s="4">
        <v>469050.9</v>
      </c>
      <c r="D37" s="4">
        <v>469050.9</v>
      </c>
      <c r="E37">
        <f t="shared" si="5"/>
        <v>12508</v>
      </c>
      <c r="F37">
        <f t="shared" si="6"/>
        <v>12508</v>
      </c>
      <c r="G37">
        <f t="shared" si="2"/>
        <v>23.1</v>
      </c>
      <c r="H37">
        <f t="shared" si="3"/>
        <v>23.1</v>
      </c>
      <c r="I37" s="4">
        <f t="shared" si="4"/>
        <v>6.9059999999999997</v>
      </c>
      <c r="J37" s="4">
        <v>75</v>
      </c>
      <c r="K37" s="4">
        <v>75</v>
      </c>
      <c r="L37" s="4">
        <v>6</v>
      </c>
      <c r="M37" s="4">
        <v>54.3</v>
      </c>
      <c r="N37" s="4">
        <v>54.3</v>
      </c>
      <c r="O37" s="4"/>
      <c r="P37" s="4"/>
    </row>
    <row r="38" spans="1:16" x14ac:dyDescent="0.3">
      <c r="A38" s="6" t="s">
        <v>239</v>
      </c>
      <c r="B38" s="4">
        <v>1016</v>
      </c>
      <c r="C38" s="4">
        <v>535697.5</v>
      </c>
      <c r="D38" s="4">
        <v>535697.5</v>
      </c>
      <c r="E38">
        <f t="shared" si="5"/>
        <v>14285.3</v>
      </c>
      <c r="F38">
        <f t="shared" si="6"/>
        <v>14285.3</v>
      </c>
      <c r="G38">
        <f t="shared" si="2"/>
        <v>23</v>
      </c>
      <c r="H38">
        <f t="shared" si="3"/>
        <v>23</v>
      </c>
      <c r="I38" s="4">
        <f t="shared" si="4"/>
        <v>7.976</v>
      </c>
      <c r="J38" s="4">
        <v>75</v>
      </c>
      <c r="K38" s="4">
        <v>75</v>
      </c>
      <c r="L38" s="4">
        <v>7</v>
      </c>
      <c r="M38" s="4">
        <v>53.9</v>
      </c>
      <c r="N38" s="4">
        <v>53.9</v>
      </c>
      <c r="O38" s="4"/>
      <c r="P38" s="4"/>
    </row>
    <row r="39" spans="1:16" x14ac:dyDescent="0.3">
      <c r="A39" s="6" t="s">
        <v>240</v>
      </c>
      <c r="B39" s="4">
        <v>1150.3</v>
      </c>
      <c r="C39" s="4">
        <v>599626.4</v>
      </c>
      <c r="D39" s="4">
        <v>599626.4</v>
      </c>
      <c r="E39">
        <f t="shared" si="5"/>
        <v>15990</v>
      </c>
      <c r="F39">
        <f t="shared" si="6"/>
        <v>15990</v>
      </c>
      <c r="G39">
        <f t="shared" si="2"/>
        <v>22.8</v>
      </c>
      <c r="H39">
        <f t="shared" si="3"/>
        <v>22.8</v>
      </c>
      <c r="I39" s="4">
        <f t="shared" si="4"/>
        <v>9.0299999999999994</v>
      </c>
      <c r="J39" s="4">
        <v>75</v>
      </c>
      <c r="K39" s="4">
        <v>75</v>
      </c>
      <c r="L39" s="4">
        <v>8</v>
      </c>
      <c r="M39" s="4">
        <v>53.5</v>
      </c>
      <c r="N39" s="4">
        <v>53.5</v>
      </c>
      <c r="O39" s="4"/>
      <c r="P39" s="4"/>
    </row>
    <row r="40" spans="1:16" x14ac:dyDescent="0.3">
      <c r="A40" s="6" t="s">
        <v>241</v>
      </c>
      <c r="B40" s="4">
        <v>1412.6</v>
      </c>
      <c r="C40" s="4">
        <v>719833.8</v>
      </c>
      <c r="D40" s="4">
        <v>719833.8</v>
      </c>
      <c r="E40">
        <f t="shared" si="5"/>
        <v>19195.599999999999</v>
      </c>
      <c r="F40">
        <f t="shared" si="6"/>
        <v>19195.599999999999</v>
      </c>
      <c r="G40">
        <f t="shared" si="2"/>
        <v>22.6</v>
      </c>
      <c r="H40">
        <f t="shared" si="3"/>
        <v>22.6</v>
      </c>
      <c r="I40" s="4">
        <f t="shared" si="4"/>
        <v>11.089</v>
      </c>
      <c r="J40" s="4">
        <v>75</v>
      </c>
      <c r="K40" s="4">
        <v>75</v>
      </c>
      <c r="L40" s="4">
        <v>10</v>
      </c>
      <c r="M40" s="4">
        <v>52.8</v>
      </c>
      <c r="N40" s="4">
        <v>52.8</v>
      </c>
      <c r="O40" s="4"/>
      <c r="P40" s="4"/>
    </row>
    <row r="41" spans="1:16" x14ac:dyDescent="0.3">
      <c r="A41" s="6" t="s">
        <v>242</v>
      </c>
      <c r="B41" s="4">
        <v>791.2</v>
      </c>
      <c r="C41" s="4">
        <v>487904.6</v>
      </c>
      <c r="D41" s="4">
        <v>487904.6</v>
      </c>
      <c r="E41">
        <f t="shared" si="5"/>
        <v>12197.6</v>
      </c>
      <c r="F41">
        <f t="shared" si="6"/>
        <v>12197.6</v>
      </c>
      <c r="G41">
        <f t="shared" si="2"/>
        <v>24.8</v>
      </c>
      <c r="H41">
        <f t="shared" si="3"/>
        <v>24.8</v>
      </c>
      <c r="I41" s="4">
        <f t="shared" si="4"/>
        <v>6.2110000000000003</v>
      </c>
      <c r="J41" s="4">
        <v>80</v>
      </c>
      <c r="K41" s="4">
        <v>80</v>
      </c>
      <c r="L41" s="4">
        <v>5</v>
      </c>
      <c r="M41" s="4">
        <v>58.5</v>
      </c>
      <c r="N41" s="4">
        <v>58.5</v>
      </c>
      <c r="O41" s="4"/>
      <c r="P41" s="4"/>
    </row>
    <row r="42" spans="1:16" x14ac:dyDescent="0.3">
      <c r="A42" s="6" t="s">
        <v>243</v>
      </c>
      <c r="B42" s="4">
        <v>939.7</v>
      </c>
      <c r="C42" s="4">
        <v>573505.80000000005</v>
      </c>
      <c r="D42" s="4">
        <v>573505.80000000005</v>
      </c>
      <c r="E42">
        <f t="shared" si="5"/>
        <v>14337.6</v>
      </c>
      <c r="F42">
        <f t="shared" si="6"/>
        <v>14337.6</v>
      </c>
      <c r="G42">
        <f t="shared" si="2"/>
        <v>24.7</v>
      </c>
      <c r="H42">
        <f t="shared" si="3"/>
        <v>24.7</v>
      </c>
      <c r="I42" s="4">
        <f t="shared" si="4"/>
        <v>7.3769999999999998</v>
      </c>
      <c r="J42" s="4">
        <v>80</v>
      </c>
      <c r="K42" s="4">
        <v>80</v>
      </c>
      <c r="L42" s="4">
        <v>6</v>
      </c>
      <c r="M42" s="4">
        <v>58.1</v>
      </c>
      <c r="N42" s="4">
        <v>58.1</v>
      </c>
      <c r="O42" s="4"/>
      <c r="P42" s="4"/>
    </row>
    <row r="43" spans="1:16" x14ac:dyDescent="0.3">
      <c r="A43" s="6" t="s">
        <v>244</v>
      </c>
      <c r="B43" s="4">
        <v>1086</v>
      </c>
      <c r="C43" s="4">
        <v>655809.6</v>
      </c>
      <c r="D43" s="4">
        <v>655809.6</v>
      </c>
      <c r="E43">
        <f t="shared" si="5"/>
        <v>16395.2</v>
      </c>
      <c r="F43">
        <f t="shared" si="6"/>
        <v>16395.2</v>
      </c>
      <c r="G43">
        <f t="shared" si="2"/>
        <v>24.6</v>
      </c>
      <c r="H43">
        <f t="shared" si="3"/>
        <v>24.6</v>
      </c>
      <c r="I43" s="4">
        <f t="shared" si="4"/>
        <v>8.5250000000000004</v>
      </c>
      <c r="J43" s="4">
        <v>80</v>
      </c>
      <c r="K43" s="4">
        <v>80</v>
      </c>
      <c r="L43" s="4">
        <v>7</v>
      </c>
      <c r="M43" s="4">
        <v>57.7</v>
      </c>
      <c r="N43" s="4">
        <v>57.7</v>
      </c>
      <c r="O43" s="4"/>
      <c r="P43" s="4"/>
    </row>
    <row r="44" spans="1:16" x14ac:dyDescent="0.3">
      <c r="A44" s="6" t="s">
        <v>245</v>
      </c>
      <c r="B44" s="4">
        <v>1230.3</v>
      </c>
      <c r="C44" s="4">
        <v>734956.1</v>
      </c>
      <c r="D44" s="4">
        <v>734956.1</v>
      </c>
      <c r="E44">
        <f t="shared" si="5"/>
        <v>18373.900000000001</v>
      </c>
      <c r="F44">
        <f t="shared" si="6"/>
        <v>18373.900000000001</v>
      </c>
      <c r="G44">
        <f t="shared" si="2"/>
        <v>24.4</v>
      </c>
      <c r="H44">
        <f t="shared" si="3"/>
        <v>24.4</v>
      </c>
      <c r="I44" s="4">
        <f t="shared" si="4"/>
        <v>9.6579999999999995</v>
      </c>
      <c r="J44" s="4">
        <v>80</v>
      </c>
      <c r="K44" s="4">
        <v>80</v>
      </c>
      <c r="L44" s="4">
        <v>8</v>
      </c>
      <c r="M44" s="4">
        <v>57.3</v>
      </c>
      <c r="N44" s="4">
        <v>57.3</v>
      </c>
      <c r="O44" s="4"/>
      <c r="P44" s="4"/>
    </row>
    <row r="45" spans="1:16" x14ac:dyDescent="0.3">
      <c r="A45" s="6" t="s">
        <v>246</v>
      </c>
      <c r="B45" s="4">
        <v>1512.6</v>
      </c>
      <c r="C45" s="4">
        <v>884319.5</v>
      </c>
      <c r="D45" s="4">
        <v>884319.5</v>
      </c>
      <c r="E45">
        <f t="shared" si="5"/>
        <v>22108</v>
      </c>
      <c r="F45">
        <f t="shared" si="6"/>
        <v>22108</v>
      </c>
      <c r="G45">
        <f t="shared" si="2"/>
        <v>24.2</v>
      </c>
      <c r="H45">
        <f t="shared" si="3"/>
        <v>24.2</v>
      </c>
      <c r="I45" s="4">
        <f t="shared" si="4"/>
        <v>11.874000000000001</v>
      </c>
      <c r="J45" s="4">
        <v>80</v>
      </c>
      <c r="K45" s="4">
        <v>80</v>
      </c>
      <c r="L45" s="4">
        <v>10</v>
      </c>
      <c r="M45" s="4">
        <v>56.5</v>
      </c>
      <c r="N45" s="4">
        <v>56.5</v>
      </c>
      <c r="O45" s="4"/>
      <c r="P45" s="4"/>
    </row>
    <row r="46" spans="1:16" x14ac:dyDescent="0.3">
      <c r="A46" s="6" t="s">
        <v>247</v>
      </c>
      <c r="B46" s="4">
        <v>1063.7</v>
      </c>
      <c r="C46" s="4">
        <v>827711.1</v>
      </c>
      <c r="D46" s="4">
        <v>827711.1</v>
      </c>
      <c r="E46">
        <f t="shared" si="5"/>
        <v>18393.599999999999</v>
      </c>
      <c r="F46">
        <f t="shared" si="6"/>
        <v>18393.599999999999</v>
      </c>
      <c r="G46">
        <f t="shared" si="2"/>
        <v>27.9</v>
      </c>
      <c r="H46">
        <f t="shared" si="3"/>
        <v>27.9</v>
      </c>
      <c r="I46" s="4">
        <f t="shared" si="4"/>
        <v>8.35</v>
      </c>
      <c r="J46" s="4">
        <v>90</v>
      </c>
      <c r="K46" s="4">
        <v>90</v>
      </c>
      <c r="L46" s="4">
        <v>6</v>
      </c>
      <c r="M46" s="4">
        <v>65.599999999999994</v>
      </c>
      <c r="N46" s="4">
        <v>65.599999999999994</v>
      </c>
      <c r="O46" s="4"/>
      <c r="P46" s="4"/>
    </row>
    <row r="47" spans="1:16" x14ac:dyDescent="0.3">
      <c r="A47" s="6" t="s">
        <v>248</v>
      </c>
      <c r="B47" s="4">
        <v>1230.0999999999999</v>
      </c>
      <c r="C47" s="4">
        <v>948275.4</v>
      </c>
      <c r="D47" s="4">
        <v>948275.4</v>
      </c>
      <c r="E47">
        <f t="shared" si="5"/>
        <v>21072.799999999999</v>
      </c>
      <c r="F47">
        <f t="shared" si="6"/>
        <v>21072.799999999999</v>
      </c>
      <c r="G47">
        <f t="shared" si="2"/>
        <v>27.8</v>
      </c>
      <c r="H47">
        <f t="shared" si="3"/>
        <v>27.8</v>
      </c>
      <c r="I47" s="4">
        <f t="shared" si="4"/>
        <v>9.6560000000000006</v>
      </c>
      <c r="J47" s="4">
        <v>90</v>
      </c>
      <c r="K47" s="4">
        <v>90</v>
      </c>
      <c r="L47" s="4">
        <v>7</v>
      </c>
      <c r="M47" s="4">
        <v>65.2</v>
      </c>
      <c r="N47" s="4">
        <v>65.2</v>
      </c>
      <c r="O47" s="4"/>
      <c r="P47" s="4"/>
    </row>
    <row r="48" spans="1:16" x14ac:dyDescent="0.3">
      <c r="A48" s="6" t="s">
        <v>249</v>
      </c>
      <c r="B48" s="4">
        <v>1394.4</v>
      </c>
      <c r="C48" s="4">
        <v>1064706.3</v>
      </c>
      <c r="D48" s="4">
        <v>1064706.3</v>
      </c>
      <c r="E48">
        <f t="shared" si="5"/>
        <v>23660.1</v>
      </c>
      <c r="F48">
        <f t="shared" si="6"/>
        <v>23660.1</v>
      </c>
      <c r="G48">
        <f t="shared" si="2"/>
        <v>27.6</v>
      </c>
      <c r="H48">
        <f t="shared" si="3"/>
        <v>27.6</v>
      </c>
      <c r="I48" s="4">
        <f t="shared" si="4"/>
        <v>10.946</v>
      </c>
      <c r="J48" s="4">
        <v>90</v>
      </c>
      <c r="K48" s="4">
        <v>90</v>
      </c>
      <c r="L48" s="4">
        <v>8</v>
      </c>
      <c r="M48" s="4">
        <v>64.8</v>
      </c>
      <c r="N48" s="4">
        <v>64.8</v>
      </c>
      <c r="O48" s="4"/>
      <c r="P48" s="4"/>
    </row>
    <row r="49" spans="1:16" x14ac:dyDescent="0.3">
      <c r="A49" s="6" t="s">
        <v>250</v>
      </c>
      <c r="B49" s="4">
        <v>1716.7</v>
      </c>
      <c r="C49" s="4">
        <v>1285791.2</v>
      </c>
      <c r="D49" s="4">
        <v>1285791.2</v>
      </c>
      <c r="E49">
        <f t="shared" si="5"/>
        <v>28573.1</v>
      </c>
      <c r="F49">
        <f t="shared" si="6"/>
        <v>28573.1</v>
      </c>
      <c r="G49">
        <f t="shared" si="2"/>
        <v>27.4</v>
      </c>
      <c r="H49">
        <f t="shared" si="3"/>
        <v>27.4</v>
      </c>
      <c r="I49" s="4">
        <f t="shared" si="4"/>
        <v>13.476000000000001</v>
      </c>
      <c r="J49" s="4">
        <v>90</v>
      </c>
      <c r="K49" s="4">
        <v>90</v>
      </c>
      <c r="L49" s="4">
        <v>10</v>
      </c>
      <c r="M49" s="4">
        <v>64.099999999999994</v>
      </c>
      <c r="N49" s="4">
        <v>64.099999999999994</v>
      </c>
      <c r="O49" s="4"/>
      <c r="P49" s="4"/>
    </row>
    <row r="50" spans="1:16" x14ac:dyDescent="0.3">
      <c r="A50" s="6" t="s">
        <v>251</v>
      </c>
      <c r="B50" s="4">
        <v>2030.6</v>
      </c>
      <c r="C50" s="4">
        <v>1492178.3</v>
      </c>
      <c r="D50" s="4">
        <v>1492178.3</v>
      </c>
      <c r="E50">
        <f t="shared" si="5"/>
        <v>33159.5</v>
      </c>
      <c r="F50">
        <f t="shared" si="6"/>
        <v>33159.5</v>
      </c>
      <c r="G50">
        <f t="shared" si="2"/>
        <v>27.1</v>
      </c>
      <c r="H50">
        <f t="shared" si="3"/>
        <v>27.1</v>
      </c>
      <c r="I50" s="4">
        <f t="shared" si="4"/>
        <v>15.94</v>
      </c>
      <c r="J50" s="4">
        <v>90</v>
      </c>
      <c r="K50" s="4">
        <v>90</v>
      </c>
      <c r="L50" s="4">
        <v>12</v>
      </c>
      <c r="M50" s="4">
        <v>63.3</v>
      </c>
      <c r="N50" s="4">
        <v>63.3</v>
      </c>
      <c r="O50" s="4"/>
      <c r="P50" s="4"/>
    </row>
    <row r="51" spans="1:16" x14ac:dyDescent="0.3">
      <c r="A51" s="6" t="s">
        <v>252</v>
      </c>
      <c r="B51" s="4">
        <v>1193.2</v>
      </c>
      <c r="C51" s="4">
        <v>1149469.6000000001</v>
      </c>
      <c r="D51" s="4">
        <v>1149469.6000000001</v>
      </c>
      <c r="E51">
        <f t="shared" si="5"/>
        <v>22989.4</v>
      </c>
      <c r="F51">
        <f t="shared" si="6"/>
        <v>22989.4</v>
      </c>
      <c r="G51">
        <f t="shared" si="2"/>
        <v>31</v>
      </c>
      <c r="H51">
        <f t="shared" si="3"/>
        <v>31</v>
      </c>
      <c r="I51" s="4">
        <f t="shared" si="4"/>
        <v>9.3670000000000009</v>
      </c>
      <c r="J51" s="4">
        <v>100</v>
      </c>
      <c r="K51" s="4">
        <v>100</v>
      </c>
      <c r="L51" s="4">
        <v>6</v>
      </c>
      <c r="M51" s="4">
        <v>73.3</v>
      </c>
      <c r="N51" s="4">
        <v>73.3</v>
      </c>
      <c r="O51" s="4"/>
      <c r="P51" s="4"/>
    </row>
    <row r="52" spans="1:16" x14ac:dyDescent="0.3">
      <c r="A52" s="6" t="s">
        <v>253</v>
      </c>
      <c r="B52" s="4">
        <v>1379.6</v>
      </c>
      <c r="C52" s="4">
        <v>1318571.7</v>
      </c>
      <c r="D52" s="4">
        <v>1318571.7</v>
      </c>
      <c r="E52">
        <f t="shared" si="5"/>
        <v>26371.4</v>
      </c>
      <c r="F52">
        <f t="shared" si="6"/>
        <v>26371.4</v>
      </c>
      <c r="G52">
        <f t="shared" si="2"/>
        <v>30.9</v>
      </c>
      <c r="H52">
        <f t="shared" si="3"/>
        <v>30.9</v>
      </c>
      <c r="I52" s="4">
        <f t="shared" si="4"/>
        <v>10.83</v>
      </c>
      <c r="J52" s="4">
        <v>100</v>
      </c>
      <c r="K52" s="4">
        <v>100</v>
      </c>
      <c r="L52" s="4">
        <v>7</v>
      </c>
      <c r="M52" s="4">
        <v>72.900000000000006</v>
      </c>
      <c r="N52" s="4">
        <v>72.900000000000006</v>
      </c>
      <c r="O52" s="4"/>
      <c r="P52" s="4"/>
    </row>
    <row r="53" spans="1:16" x14ac:dyDescent="0.3">
      <c r="A53" s="6" t="s">
        <v>254</v>
      </c>
      <c r="B53" s="4">
        <v>1563.9</v>
      </c>
      <c r="C53" s="4">
        <v>1482432.6</v>
      </c>
      <c r="D53" s="4">
        <v>1482432.6</v>
      </c>
      <c r="E53">
        <f t="shared" si="5"/>
        <v>29648.7</v>
      </c>
      <c r="F53">
        <f t="shared" si="6"/>
        <v>29648.7</v>
      </c>
      <c r="G53">
        <f t="shared" si="2"/>
        <v>30.8</v>
      </c>
      <c r="H53">
        <f t="shared" si="3"/>
        <v>30.8</v>
      </c>
      <c r="I53" s="4">
        <f t="shared" si="4"/>
        <v>12.276999999999999</v>
      </c>
      <c r="J53" s="4">
        <v>100</v>
      </c>
      <c r="K53" s="4">
        <v>100</v>
      </c>
      <c r="L53" s="4">
        <v>8</v>
      </c>
      <c r="M53" s="4">
        <v>72.400000000000006</v>
      </c>
      <c r="N53" s="4">
        <v>72.400000000000006</v>
      </c>
      <c r="O53" s="4"/>
      <c r="P53" s="4"/>
    </row>
    <row r="54" spans="1:16" x14ac:dyDescent="0.3">
      <c r="A54" s="6" t="s">
        <v>255</v>
      </c>
      <c r="B54" s="4">
        <v>1926.1</v>
      </c>
      <c r="C54" s="4">
        <v>1795140.5</v>
      </c>
      <c r="D54" s="4">
        <v>1795140.5</v>
      </c>
      <c r="E54">
        <f t="shared" si="5"/>
        <v>35902.800000000003</v>
      </c>
      <c r="F54">
        <f t="shared" si="6"/>
        <v>35902.800000000003</v>
      </c>
      <c r="G54">
        <f t="shared" si="2"/>
        <v>30.5</v>
      </c>
      <c r="H54">
        <f t="shared" si="3"/>
        <v>30.5</v>
      </c>
      <c r="I54" s="4">
        <f t="shared" si="4"/>
        <v>15.12</v>
      </c>
      <c r="J54" s="4">
        <v>100</v>
      </c>
      <c r="K54" s="4">
        <v>100</v>
      </c>
      <c r="L54" s="4">
        <v>10</v>
      </c>
      <c r="M54" s="4">
        <v>71.599999999999994</v>
      </c>
      <c r="N54" s="4">
        <v>71.599999999999994</v>
      </c>
      <c r="O54" s="4"/>
      <c r="P54" s="4"/>
    </row>
    <row r="55" spans="1:16" x14ac:dyDescent="0.3">
      <c r="A55" s="6" t="s">
        <v>256</v>
      </c>
      <c r="B55" s="4">
        <v>2280</v>
      </c>
      <c r="C55" s="4">
        <v>2088972.9</v>
      </c>
      <c r="D55" s="4">
        <v>2088972.9</v>
      </c>
      <c r="E55">
        <f t="shared" si="5"/>
        <v>41779.5</v>
      </c>
      <c r="F55">
        <f t="shared" si="6"/>
        <v>41779.5</v>
      </c>
      <c r="G55">
        <f t="shared" si="2"/>
        <v>30.3</v>
      </c>
      <c r="H55">
        <f t="shared" si="3"/>
        <v>30.3</v>
      </c>
      <c r="I55" s="4">
        <f t="shared" si="4"/>
        <v>17.898</v>
      </c>
      <c r="J55" s="4">
        <v>100</v>
      </c>
      <c r="K55" s="4">
        <v>100</v>
      </c>
      <c r="L55" s="4">
        <v>12</v>
      </c>
      <c r="M55" s="4">
        <v>70.900000000000006</v>
      </c>
      <c r="N55" s="4">
        <v>70.900000000000006</v>
      </c>
      <c r="O55" s="4"/>
      <c r="P55" s="4"/>
    </row>
    <row r="56" spans="1:16" x14ac:dyDescent="0.3">
      <c r="A56" s="6" t="s">
        <v>257</v>
      </c>
      <c r="B56" s="4">
        <v>2625.6</v>
      </c>
      <c r="C56" s="4">
        <v>2365253.2999999998</v>
      </c>
      <c r="D56" s="4">
        <v>2365253.2999999998</v>
      </c>
      <c r="E56">
        <f t="shared" si="5"/>
        <v>47305.1</v>
      </c>
      <c r="F56">
        <f t="shared" si="6"/>
        <v>47305.1</v>
      </c>
      <c r="G56">
        <f t="shared" si="2"/>
        <v>30</v>
      </c>
      <c r="H56">
        <f t="shared" si="3"/>
        <v>30</v>
      </c>
      <c r="I56" s="4">
        <f t="shared" si="4"/>
        <v>20.611000000000001</v>
      </c>
      <c r="J56" s="4">
        <v>100</v>
      </c>
      <c r="K56" s="4">
        <v>100</v>
      </c>
      <c r="L56" s="4">
        <v>14</v>
      </c>
      <c r="M56" s="4">
        <v>70.099999999999994</v>
      </c>
      <c r="N56" s="4">
        <v>70.099999999999994</v>
      </c>
      <c r="O56" s="4"/>
      <c r="P56" s="4"/>
    </row>
    <row r="57" spans="1:16" x14ac:dyDescent="0.3">
      <c r="A57" s="6" t="s">
        <v>258</v>
      </c>
      <c r="B57" s="4">
        <v>2962.7</v>
      </c>
      <c r="C57" s="4">
        <v>2625255.7000000002</v>
      </c>
      <c r="D57" s="4">
        <v>2625255.7000000002</v>
      </c>
      <c r="E57">
        <f t="shared" si="5"/>
        <v>52505.1</v>
      </c>
      <c r="F57">
        <f t="shared" si="6"/>
        <v>52505.1</v>
      </c>
      <c r="G57">
        <f t="shared" si="2"/>
        <v>29.8</v>
      </c>
      <c r="H57">
        <f t="shared" si="3"/>
        <v>29.8</v>
      </c>
      <c r="I57" s="4">
        <f t="shared" si="4"/>
        <v>23.257000000000001</v>
      </c>
      <c r="J57" s="4">
        <v>100</v>
      </c>
      <c r="K57" s="4">
        <v>100</v>
      </c>
      <c r="L57" s="4">
        <v>16</v>
      </c>
      <c r="M57" s="4">
        <v>69.400000000000006</v>
      </c>
      <c r="N57" s="4">
        <v>69.400000000000006</v>
      </c>
      <c r="O57" s="4"/>
      <c r="P57" s="4"/>
    </row>
    <row r="58" spans="1:16" x14ac:dyDescent="0.3">
      <c r="A58" s="6" t="s">
        <v>259</v>
      </c>
      <c r="B58" s="4">
        <v>1519.6</v>
      </c>
      <c r="C58" s="4">
        <v>1771622.3999999999</v>
      </c>
      <c r="D58" s="4">
        <v>1771622.3999999999</v>
      </c>
      <c r="E58">
        <f t="shared" si="5"/>
        <v>32211.3</v>
      </c>
      <c r="F58">
        <f t="shared" si="6"/>
        <v>32211.3</v>
      </c>
      <c r="G58">
        <f t="shared" si="2"/>
        <v>34.1</v>
      </c>
      <c r="H58">
        <f t="shared" si="3"/>
        <v>34.1</v>
      </c>
      <c r="I58" s="4">
        <f t="shared" si="4"/>
        <v>11.929</v>
      </c>
      <c r="J58" s="4">
        <v>110</v>
      </c>
      <c r="K58" s="4">
        <v>110</v>
      </c>
      <c r="L58" s="4">
        <v>7</v>
      </c>
      <c r="M58" s="4">
        <v>80.400000000000006</v>
      </c>
      <c r="N58" s="4">
        <v>80.400000000000006</v>
      </c>
      <c r="O58" s="4"/>
      <c r="P58" s="4"/>
    </row>
    <row r="59" spans="1:16" x14ac:dyDescent="0.3">
      <c r="A59" s="6" t="s">
        <v>260</v>
      </c>
      <c r="B59" s="4">
        <v>1723.9</v>
      </c>
      <c r="C59" s="4">
        <v>1994584.5</v>
      </c>
      <c r="D59" s="4">
        <v>1994584.5</v>
      </c>
      <c r="E59">
        <f t="shared" si="5"/>
        <v>36265.199999999997</v>
      </c>
      <c r="F59">
        <f t="shared" si="6"/>
        <v>36265.199999999997</v>
      </c>
      <c r="G59">
        <f t="shared" si="2"/>
        <v>34</v>
      </c>
      <c r="H59">
        <f t="shared" si="3"/>
        <v>34</v>
      </c>
      <c r="I59" s="4">
        <f t="shared" si="4"/>
        <v>13.532999999999999</v>
      </c>
      <c r="J59" s="4">
        <v>110</v>
      </c>
      <c r="K59" s="4">
        <v>110</v>
      </c>
      <c r="L59" s="4">
        <v>8</v>
      </c>
      <c r="M59" s="4">
        <v>79.900000000000006</v>
      </c>
      <c r="N59" s="4">
        <v>79.900000000000006</v>
      </c>
      <c r="O59" s="4"/>
      <c r="P59" s="4"/>
    </row>
    <row r="60" spans="1:16" x14ac:dyDescent="0.3">
      <c r="A60" s="6" t="s">
        <v>261</v>
      </c>
      <c r="B60" s="4">
        <v>2126.1</v>
      </c>
      <c r="C60" s="4">
        <v>2421853.5</v>
      </c>
      <c r="D60" s="4">
        <v>2421853.5</v>
      </c>
      <c r="E60">
        <f t="shared" si="5"/>
        <v>44033.7</v>
      </c>
      <c r="F60">
        <f t="shared" si="6"/>
        <v>44033.7</v>
      </c>
      <c r="G60">
        <f t="shared" si="2"/>
        <v>33.799999999999997</v>
      </c>
      <c r="H60">
        <f t="shared" si="3"/>
        <v>33.799999999999997</v>
      </c>
      <c r="I60" s="4">
        <f t="shared" si="4"/>
        <v>16.690000000000001</v>
      </c>
      <c r="J60" s="4">
        <v>110</v>
      </c>
      <c r="K60" s="4">
        <v>110</v>
      </c>
      <c r="L60" s="4">
        <v>10</v>
      </c>
      <c r="M60" s="4">
        <v>79.099999999999994</v>
      </c>
      <c r="N60" s="4">
        <v>79.099999999999994</v>
      </c>
      <c r="O60" s="4"/>
      <c r="P60" s="4"/>
    </row>
    <row r="61" spans="1:16" x14ac:dyDescent="0.3">
      <c r="A61" s="6" t="s">
        <v>262</v>
      </c>
      <c r="B61" s="4">
        <v>2520</v>
      </c>
      <c r="C61" s="4">
        <v>2825523.3</v>
      </c>
      <c r="D61" s="4">
        <v>2825523.3</v>
      </c>
      <c r="E61">
        <f t="shared" si="5"/>
        <v>51373.2</v>
      </c>
      <c r="F61">
        <f t="shared" si="6"/>
        <v>51373.2</v>
      </c>
      <c r="G61">
        <f t="shared" si="2"/>
        <v>33.5</v>
      </c>
      <c r="H61">
        <f t="shared" si="3"/>
        <v>33.5</v>
      </c>
      <c r="I61" s="4">
        <f t="shared" si="4"/>
        <v>19.782</v>
      </c>
      <c r="J61" s="4">
        <v>110</v>
      </c>
      <c r="K61" s="4">
        <v>110</v>
      </c>
      <c r="L61" s="4">
        <v>12</v>
      </c>
      <c r="M61" s="4">
        <v>78.400000000000006</v>
      </c>
      <c r="N61" s="4">
        <v>78.400000000000006</v>
      </c>
      <c r="O61" s="4"/>
      <c r="P61" s="4"/>
    </row>
    <row r="62" spans="1:16" x14ac:dyDescent="0.3">
      <c r="A62" s="6" t="s">
        <v>263</v>
      </c>
      <c r="B62" s="4">
        <v>2905.6</v>
      </c>
      <c r="C62" s="4">
        <v>3207075.1</v>
      </c>
      <c r="D62" s="4">
        <v>3207075.1</v>
      </c>
      <c r="E62">
        <f t="shared" si="5"/>
        <v>58310.5</v>
      </c>
      <c r="F62">
        <f t="shared" si="6"/>
        <v>58310.5</v>
      </c>
      <c r="G62">
        <f t="shared" si="2"/>
        <v>33.200000000000003</v>
      </c>
      <c r="H62">
        <f t="shared" si="3"/>
        <v>33.200000000000003</v>
      </c>
      <c r="I62" s="4">
        <f t="shared" si="4"/>
        <v>22.809000000000001</v>
      </c>
      <c r="J62" s="4">
        <v>110</v>
      </c>
      <c r="K62" s="4">
        <v>110</v>
      </c>
      <c r="L62" s="4">
        <v>14</v>
      </c>
      <c r="M62" s="4">
        <v>77.599999999999994</v>
      </c>
      <c r="N62" s="4">
        <v>77.599999999999994</v>
      </c>
      <c r="O62" s="4"/>
      <c r="P62" s="4"/>
    </row>
    <row r="63" spans="1:16" x14ac:dyDescent="0.3">
      <c r="A63" s="6" t="s">
        <v>264</v>
      </c>
      <c r="B63" s="4">
        <v>1975</v>
      </c>
      <c r="C63" s="4">
        <v>2970261</v>
      </c>
      <c r="D63" s="4">
        <v>2970261</v>
      </c>
      <c r="E63">
        <f t="shared" si="5"/>
        <v>47524.2</v>
      </c>
      <c r="F63">
        <f t="shared" si="6"/>
        <v>47524.2</v>
      </c>
      <c r="G63">
        <f t="shared" si="2"/>
        <v>38.799999999999997</v>
      </c>
      <c r="H63">
        <f t="shared" si="3"/>
        <v>38.799999999999997</v>
      </c>
      <c r="I63" s="4">
        <f t="shared" si="4"/>
        <v>15.504</v>
      </c>
      <c r="J63" s="4">
        <v>125</v>
      </c>
      <c r="K63" s="4">
        <v>125</v>
      </c>
      <c r="L63" s="4">
        <v>8</v>
      </c>
      <c r="M63" s="4">
        <v>91.3</v>
      </c>
      <c r="N63" s="4">
        <v>91.3</v>
      </c>
      <c r="O63" s="4"/>
      <c r="P63" s="4"/>
    </row>
    <row r="64" spans="1:16" x14ac:dyDescent="0.3">
      <c r="A64" s="6" t="s">
        <v>265</v>
      </c>
      <c r="B64" s="4">
        <v>2437.3000000000002</v>
      </c>
      <c r="C64" s="4">
        <v>3616747.7</v>
      </c>
      <c r="D64" s="4">
        <v>3616747.7</v>
      </c>
      <c r="E64">
        <f t="shared" si="5"/>
        <v>57868</v>
      </c>
      <c r="F64">
        <f t="shared" si="6"/>
        <v>57868</v>
      </c>
      <c r="G64">
        <f t="shared" si="2"/>
        <v>38.5</v>
      </c>
      <c r="H64">
        <f t="shared" si="3"/>
        <v>38.5</v>
      </c>
      <c r="I64" s="4">
        <f t="shared" si="4"/>
        <v>19.132999999999999</v>
      </c>
      <c r="J64" s="4">
        <v>125</v>
      </c>
      <c r="K64" s="4">
        <v>125</v>
      </c>
      <c r="L64" s="4">
        <v>10</v>
      </c>
      <c r="M64" s="4">
        <v>90.5</v>
      </c>
      <c r="N64" s="4">
        <v>90.5</v>
      </c>
      <c r="O64" s="4"/>
      <c r="P64" s="4"/>
    </row>
    <row r="65" spans="1:16" x14ac:dyDescent="0.3">
      <c r="A65" s="6" t="s">
        <v>266</v>
      </c>
      <c r="B65" s="4">
        <v>2891.2</v>
      </c>
      <c r="C65" s="4">
        <v>4231582.8</v>
      </c>
      <c r="D65" s="4">
        <v>4231582.8</v>
      </c>
      <c r="E65">
        <f t="shared" si="5"/>
        <v>67705.3</v>
      </c>
      <c r="F65">
        <f t="shared" si="6"/>
        <v>67705.3</v>
      </c>
      <c r="G65">
        <f t="shared" si="2"/>
        <v>38.299999999999997</v>
      </c>
      <c r="H65">
        <f t="shared" si="3"/>
        <v>38.299999999999997</v>
      </c>
      <c r="I65" s="4">
        <f t="shared" si="4"/>
        <v>22.696000000000002</v>
      </c>
      <c r="J65" s="4">
        <v>125</v>
      </c>
      <c r="K65" s="4">
        <v>125</v>
      </c>
      <c r="L65" s="4">
        <v>12</v>
      </c>
      <c r="M65" s="4">
        <v>89.7</v>
      </c>
      <c r="N65" s="4">
        <v>89.7</v>
      </c>
      <c r="O65" s="4"/>
      <c r="P65" s="4"/>
    </row>
    <row r="66" spans="1:16" x14ac:dyDescent="0.3">
      <c r="A66" s="6" t="s">
        <v>267</v>
      </c>
      <c r="B66" s="4">
        <v>3336.7</v>
      </c>
      <c r="C66" s="4">
        <v>4816491.8</v>
      </c>
      <c r="D66" s="4">
        <v>4816491.8</v>
      </c>
      <c r="E66">
        <f t="shared" ref="E66:E81" si="7">ROUND(C66/J66*2,1)</f>
        <v>77063.899999999994</v>
      </c>
      <c r="F66">
        <f t="shared" ref="F66:F81" si="8">ROUND(D66/K66*2,1)</f>
        <v>77063.899999999994</v>
      </c>
      <c r="G66">
        <f t="shared" si="2"/>
        <v>38</v>
      </c>
      <c r="H66">
        <f t="shared" si="3"/>
        <v>38</v>
      </c>
      <c r="I66" s="4">
        <f t="shared" si="4"/>
        <v>26.193000000000001</v>
      </c>
      <c r="J66" s="4">
        <v>125</v>
      </c>
      <c r="K66" s="4">
        <v>125</v>
      </c>
      <c r="L66" s="4">
        <v>14</v>
      </c>
      <c r="M66" s="4">
        <v>88.9</v>
      </c>
      <c r="N66" s="4">
        <v>88.9</v>
      </c>
      <c r="O66" s="4"/>
      <c r="P66" s="4"/>
    </row>
    <row r="67" spans="1:16" x14ac:dyDescent="0.3">
      <c r="A67" s="6" t="s">
        <v>268</v>
      </c>
      <c r="B67" s="4">
        <v>2737.3</v>
      </c>
      <c r="C67" s="4">
        <v>5146523.3</v>
      </c>
      <c r="D67" s="4">
        <v>5146523.3</v>
      </c>
      <c r="E67">
        <f t="shared" si="7"/>
        <v>73521.8</v>
      </c>
      <c r="F67">
        <f t="shared" si="8"/>
        <v>73521.8</v>
      </c>
      <c r="G67">
        <f t="shared" ref="G67:G81" si="9">ROUND((C67/B67)^0.5,1)</f>
        <v>43.4</v>
      </c>
      <c r="H67">
        <f t="shared" ref="H67:H81" si="10">ROUND((D67/B67)^0.5,1)</f>
        <v>43.4</v>
      </c>
      <c r="I67" s="4">
        <f t="shared" ref="I67:I81" si="11">ROUND(B67*0.00785,3)</f>
        <v>21.488</v>
      </c>
      <c r="J67" s="4">
        <v>140</v>
      </c>
      <c r="K67" s="4">
        <v>140</v>
      </c>
      <c r="L67" s="4">
        <v>10</v>
      </c>
      <c r="M67" s="4">
        <v>101.8</v>
      </c>
      <c r="N67" s="4">
        <v>101.8</v>
      </c>
      <c r="O67" s="4"/>
      <c r="P67" s="4"/>
    </row>
    <row r="68" spans="1:16" x14ac:dyDescent="0.3">
      <c r="A68" s="6" t="s">
        <v>269</v>
      </c>
      <c r="B68" s="4">
        <v>3251.2</v>
      </c>
      <c r="C68" s="4">
        <v>6036786.5999999996</v>
      </c>
      <c r="D68" s="4">
        <v>6036786.5999999996</v>
      </c>
      <c r="E68">
        <f t="shared" si="7"/>
        <v>86239.8</v>
      </c>
      <c r="F68">
        <f t="shared" si="8"/>
        <v>86239.8</v>
      </c>
      <c r="G68">
        <f t="shared" si="9"/>
        <v>43.1</v>
      </c>
      <c r="H68">
        <f t="shared" si="10"/>
        <v>43.1</v>
      </c>
      <c r="I68" s="4">
        <f t="shared" si="11"/>
        <v>25.521999999999998</v>
      </c>
      <c r="J68" s="4">
        <v>140</v>
      </c>
      <c r="K68" s="4">
        <v>140</v>
      </c>
      <c r="L68" s="4">
        <v>12</v>
      </c>
      <c r="M68" s="4">
        <v>101</v>
      </c>
      <c r="N68" s="4">
        <v>101</v>
      </c>
      <c r="O68" s="4"/>
      <c r="P68" s="4"/>
    </row>
    <row r="69" spans="1:16" x14ac:dyDescent="0.3">
      <c r="A69" s="6" t="s">
        <v>270</v>
      </c>
      <c r="B69" s="4">
        <v>3756.7</v>
      </c>
      <c r="C69" s="4">
        <v>6888111.2000000002</v>
      </c>
      <c r="D69" s="4">
        <v>6888111.2000000002</v>
      </c>
      <c r="E69">
        <f t="shared" si="7"/>
        <v>98401.600000000006</v>
      </c>
      <c r="F69">
        <f t="shared" si="8"/>
        <v>98401.600000000006</v>
      </c>
      <c r="G69">
        <f t="shared" si="9"/>
        <v>42.8</v>
      </c>
      <c r="H69">
        <f t="shared" si="10"/>
        <v>42.8</v>
      </c>
      <c r="I69" s="4">
        <f t="shared" si="11"/>
        <v>29.49</v>
      </c>
      <c r="J69" s="4">
        <v>140</v>
      </c>
      <c r="K69" s="4">
        <v>140</v>
      </c>
      <c r="L69" s="4">
        <v>14</v>
      </c>
      <c r="M69" s="4">
        <v>100.2</v>
      </c>
      <c r="N69" s="4">
        <v>100.2</v>
      </c>
      <c r="O69" s="4"/>
      <c r="P69" s="4"/>
    </row>
    <row r="70" spans="1:16" x14ac:dyDescent="0.3">
      <c r="A70" s="6" t="s">
        <v>271</v>
      </c>
      <c r="B70" s="4">
        <v>3150.2</v>
      </c>
      <c r="C70" s="4">
        <v>7795307.2000000002</v>
      </c>
      <c r="D70" s="4">
        <v>7795307.2000000002</v>
      </c>
      <c r="E70">
        <f t="shared" si="7"/>
        <v>97441.3</v>
      </c>
      <c r="F70">
        <f t="shared" si="8"/>
        <v>97441.3</v>
      </c>
      <c r="G70">
        <f t="shared" si="9"/>
        <v>49.7</v>
      </c>
      <c r="H70">
        <f t="shared" si="10"/>
        <v>49.7</v>
      </c>
      <c r="I70" s="4">
        <f t="shared" si="11"/>
        <v>24.728999999999999</v>
      </c>
      <c r="J70" s="4">
        <v>160</v>
      </c>
      <c r="K70" s="4">
        <v>160</v>
      </c>
      <c r="L70" s="4">
        <v>10</v>
      </c>
      <c r="M70" s="4">
        <v>116.9</v>
      </c>
      <c r="N70" s="4">
        <v>116.9</v>
      </c>
      <c r="O70" s="4"/>
      <c r="P70" s="4"/>
    </row>
    <row r="71" spans="1:16" x14ac:dyDescent="0.3">
      <c r="A71" s="6" t="s">
        <v>272</v>
      </c>
      <c r="B71" s="4">
        <v>3744.1</v>
      </c>
      <c r="C71" s="4">
        <v>9165837.9000000004</v>
      </c>
      <c r="D71" s="4">
        <v>9165837.9000000004</v>
      </c>
      <c r="E71">
        <f t="shared" si="7"/>
        <v>114573</v>
      </c>
      <c r="F71">
        <f t="shared" si="8"/>
        <v>114573</v>
      </c>
      <c r="G71">
        <f t="shared" si="9"/>
        <v>49.5</v>
      </c>
      <c r="H71">
        <f t="shared" si="10"/>
        <v>49.5</v>
      </c>
      <c r="I71" s="4">
        <f t="shared" si="11"/>
        <v>29.390999999999998</v>
      </c>
      <c r="J71" s="4">
        <v>160</v>
      </c>
      <c r="K71" s="4">
        <v>160</v>
      </c>
      <c r="L71" s="4">
        <v>12</v>
      </c>
      <c r="M71" s="4">
        <v>116.1</v>
      </c>
      <c r="N71" s="4">
        <v>116.1</v>
      </c>
      <c r="O71" s="4"/>
      <c r="P71" s="4"/>
    </row>
    <row r="72" spans="1:16" x14ac:dyDescent="0.3">
      <c r="A72" s="6" t="s">
        <v>273</v>
      </c>
      <c r="B72" s="4">
        <v>4329.6000000000004</v>
      </c>
      <c r="C72" s="4">
        <v>10483597</v>
      </c>
      <c r="D72" s="4">
        <v>10483597</v>
      </c>
      <c r="E72">
        <f t="shared" si="7"/>
        <v>131045</v>
      </c>
      <c r="F72">
        <f t="shared" si="8"/>
        <v>131045</v>
      </c>
      <c r="G72">
        <f t="shared" si="9"/>
        <v>49.2</v>
      </c>
      <c r="H72">
        <f t="shared" si="10"/>
        <v>49.2</v>
      </c>
      <c r="I72" s="4">
        <f t="shared" si="11"/>
        <v>33.987000000000002</v>
      </c>
      <c r="J72" s="4">
        <v>160</v>
      </c>
      <c r="K72" s="4">
        <v>160</v>
      </c>
      <c r="L72" s="4">
        <v>14</v>
      </c>
      <c r="M72" s="4">
        <v>115.3</v>
      </c>
      <c r="N72" s="4">
        <v>115.3</v>
      </c>
      <c r="O72" s="4"/>
      <c r="P72" s="4"/>
    </row>
    <row r="73" spans="1:16" x14ac:dyDescent="0.3">
      <c r="A73" s="6" t="s">
        <v>274</v>
      </c>
      <c r="B73" s="4">
        <v>4906.7</v>
      </c>
      <c r="C73" s="4">
        <v>11750814</v>
      </c>
      <c r="D73" s="4">
        <v>11750814</v>
      </c>
      <c r="E73">
        <f t="shared" si="7"/>
        <v>146885.20000000001</v>
      </c>
      <c r="F73">
        <f t="shared" si="8"/>
        <v>146885.20000000001</v>
      </c>
      <c r="G73">
        <f t="shared" si="9"/>
        <v>48.9</v>
      </c>
      <c r="H73">
        <f t="shared" si="10"/>
        <v>48.9</v>
      </c>
      <c r="I73" s="4">
        <f t="shared" si="11"/>
        <v>38.518000000000001</v>
      </c>
      <c r="J73" s="4">
        <v>160</v>
      </c>
      <c r="K73" s="4">
        <v>160</v>
      </c>
      <c r="L73" s="4">
        <v>16</v>
      </c>
      <c r="M73" s="4">
        <v>114.5</v>
      </c>
      <c r="N73" s="4">
        <v>114.5</v>
      </c>
      <c r="O73" s="4"/>
      <c r="P73" s="4"/>
    </row>
    <row r="74" spans="1:16" x14ac:dyDescent="0.3">
      <c r="A74" s="6" t="s">
        <v>275</v>
      </c>
      <c r="B74" s="4">
        <v>4224.1000000000004</v>
      </c>
      <c r="C74" s="4">
        <v>13213537</v>
      </c>
      <c r="D74" s="4">
        <v>13213537</v>
      </c>
      <c r="E74">
        <f t="shared" si="7"/>
        <v>146817.1</v>
      </c>
      <c r="F74">
        <f t="shared" si="8"/>
        <v>146817.1</v>
      </c>
      <c r="G74">
        <f t="shared" si="9"/>
        <v>55.9</v>
      </c>
      <c r="H74">
        <f t="shared" si="10"/>
        <v>55.9</v>
      </c>
      <c r="I74" s="4">
        <f t="shared" si="11"/>
        <v>33.158999999999999</v>
      </c>
      <c r="J74" s="4">
        <v>180</v>
      </c>
      <c r="K74" s="4">
        <v>180</v>
      </c>
      <c r="L74" s="4">
        <v>12</v>
      </c>
      <c r="M74" s="4">
        <v>131.1</v>
      </c>
      <c r="N74" s="4">
        <v>131.1</v>
      </c>
      <c r="O74" s="4"/>
      <c r="P74" s="4"/>
    </row>
    <row r="75" spans="1:16" x14ac:dyDescent="0.3">
      <c r="A75" s="6" t="s">
        <v>276</v>
      </c>
      <c r="B75" s="4">
        <v>4889.6000000000004</v>
      </c>
      <c r="C75" s="4">
        <v>15144784</v>
      </c>
      <c r="D75" s="4">
        <v>15144784</v>
      </c>
      <c r="E75">
        <f t="shared" si="7"/>
        <v>168275.4</v>
      </c>
      <c r="F75">
        <f t="shared" si="8"/>
        <v>168275.4</v>
      </c>
      <c r="G75">
        <f t="shared" si="9"/>
        <v>55.7</v>
      </c>
      <c r="H75">
        <f t="shared" si="10"/>
        <v>55.7</v>
      </c>
      <c r="I75" s="4">
        <f t="shared" si="11"/>
        <v>38.383000000000003</v>
      </c>
      <c r="J75" s="4">
        <v>180</v>
      </c>
      <c r="K75" s="4">
        <v>180</v>
      </c>
      <c r="L75" s="4">
        <v>14</v>
      </c>
      <c r="M75" s="4">
        <v>130.30000000000001</v>
      </c>
      <c r="N75" s="4">
        <v>130.30000000000001</v>
      </c>
      <c r="O75" s="4"/>
      <c r="P75" s="4"/>
    </row>
    <row r="76" spans="1:16" x14ac:dyDescent="0.3">
      <c r="A76" s="6" t="s">
        <v>277</v>
      </c>
      <c r="B76" s="4">
        <v>5546.7</v>
      </c>
      <c r="C76" s="4">
        <v>17009854</v>
      </c>
      <c r="D76" s="4">
        <v>17009854</v>
      </c>
      <c r="E76">
        <f t="shared" si="7"/>
        <v>188998.39999999999</v>
      </c>
      <c r="F76">
        <f t="shared" si="8"/>
        <v>188998.39999999999</v>
      </c>
      <c r="G76">
        <f t="shared" si="9"/>
        <v>55.4</v>
      </c>
      <c r="H76">
        <f t="shared" si="10"/>
        <v>55.4</v>
      </c>
      <c r="I76" s="4">
        <f t="shared" si="11"/>
        <v>43.542000000000002</v>
      </c>
      <c r="J76" s="4">
        <v>180</v>
      </c>
      <c r="K76" s="4">
        <v>180</v>
      </c>
      <c r="L76" s="4">
        <v>16</v>
      </c>
      <c r="M76" s="4">
        <v>129.5</v>
      </c>
      <c r="N76" s="4">
        <v>129.5</v>
      </c>
      <c r="O76" s="4"/>
      <c r="P76" s="4"/>
    </row>
    <row r="77" spans="1:16" x14ac:dyDescent="0.3">
      <c r="A77" s="6" t="s">
        <v>278</v>
      </c>
      <c r="B77" s="4">
        <v>5464.2</v>
      </c>
      <c r="C77" s="4">
        <v>21035472</v>
      </c>
      <c r="D77" s="4">
        <v>21035472</v>
      </c>
      <c r="E77">
        <f t="shared" si="7"/>
        <v>210354.7</v>
      </c>
      <c r="F77">
        <f t="shared" si="8"/>
        <v>210354.7</v>
      </c>
      <c r="G77">
        <f t="shared" si="9"/>
        <v>62</v>
      </c>
      <c r="H77">
        <f t="shared" si="10"/>
        <v>62</v>
      </c>
      <c r="I77" s="4">
        <f t="shared" si="11"/>
        <v>42.893999999999998</v>
      </c>
      <c r="J77" s="4">
        <v>200</v>
      </c>
      <c r="K77" s="4">
        <v>200</v>
      </c>
      <c r="L77" s="4">
        <v>14</v>
      </c>
      <c r="M77" s="4">
        <v>145.4</v>
      </c>
      <c r="N77" s="4">
        <v>145.4</v>
      </c>
      <c r="O77" s="4"/>
      <c r="P77" s="4"/>
    </row>
    <row r="78" spans="1:16" x14ac:dyDescent="0.3">
      <c r="A78" s="6" t="s">
        <v>279</v>
      </c>
      <c r="B78" s="4">
        <v>6201.3</v>
      </c>
      <c r="C78" s="4">
        <v>23661459</v>
      </c>
      <c r="D78" s="4">
        <v>23661459</v>
      </c>
      <c r="E78">
        <f t="shared" si="7"/>
        <v>236614.6</v>
      </c>
      <c r="F78">
        <f t="shared" si="8"/>
        <v>236614.6</v>
      </c>
      <c r="G78">
        <f t="shared" si="9"/>
        <v>61.8</v>
      </c>
      <c r="H78">
        <f t="shared" si="10"/>
        <v>61.8</v>
      </c>
      <c r="I78" s="4">
        <f t="shared" si="11"/>
        <v>48.68</v>
      </c>
      <c r="J78" s="4">
        <v>200</v>
      </c>
      <c r="K78" s="4">
        <v>200</v>
      </c>
      <c r="L78" s="4">
        <v>16</v>
      </c>
      <c r="M78" s="4">
        <v>144.6</v>
      </c>
      <c r="N78" s="4">
        <v>144.6</v>
      </c>
      <c r="O78" s="4"/>
      <c r="P78" s="4"/>
    </row>
    <row r="79" spans="1:16" x14ac:dyDescent="0.3">
      <c r="A79" s="6" t="s">
        <v>280</v>
      </c>
      <c r="B79" s="4">
        <v>6930.1</v>
      </c>
      <c r="C79" s="4">
        <v>26206369</v>
      </c>
      <c r="D79" s="4">
        <v>26206369</v>
      </c>
      <c r="E79">
        <f t="shared" si="7"/>
        <v>262063.7</v>
      </c>
      <c r="F79">
        <f t="shared" si="8"/>
        <v>262063.7</v>
      </c>
      <c r="G79">
        <f t="shared" si="9"/>
        <v>61.5</v>
      </c>
      <c r="H79">
        <f t="shared" si="10"/>
        <v>61.5</v>
      </c>
      <c r="I79" s="4">
        <f t="shared" si="11"/>
        <v>54.401000000000003</v>
      </c>
      <c r="J79" s="4">
        <v>200</v>
      </c>
      <c r="K79" s="4">
        <v>200</v>
      </c>
      <c r="L79" s="4">
        <v>18</v>
      </c>
      <c r="M79" s="4">
        <v>143.80000000000001</v>
      </c>
      <c r="N79" s="4">
        <v>143.80000000000001</v>
      </c>
      <c r="O79" s="4"/>
      <c r="P79" s="4"/>
    </row>
    <row r="80" spans="1:16" x14ac:dyDescent="0.3">
      <c r="A80" s="6" t="s">
        <v>281</v>
      </c>
      <c r="B80" s="4">
        <v>7650.5</v>
      </c>
      <c r="C80" s="4">
        <v>28672962</v>
      </c>
      <c r="D80" s="4">
        <v>28672962</v>
      </c>
      <c r="E80">
        <f t="shared" si="7"/>
        <v>286729.59999999998</v>
      </c>
      <c r="F80">
        <f t="shared" si="8"/>
        <v>286729.59999999998</v>
      </c>
      <c r="G80">
        <f t="shared" si="9"/>
        <v>61.2</v>
      </c>
      <c r="H80">
        <f t="shared" si="10"/>
        <v>61.2</v>
      </c>
      <c r="I80" s="4">
        <f t="shared" si="11"/>
        <v>60.055999999999997</v>
      </c>
      <c r="J80" s="4">
        <v>200</v>
      </c>
      <c r="K80" s="4">
        <v>200</v>
      </c>
      <c r="L80" s="4">
        <v>20</v>
      </c>
      <c r="M80" s="4">
        <v>143.1</v>
      </c>
      <c r="N80" s="4">
        <v>143.1</v>
      </c>
      <c r="O80" s="4"/>
      <c r="P80" s="4"/>
    </row>
    <row r="81" spans="1:16" x14ac:dyDescent="0.3">
      <c r="A81" s="6" t="s">
        <v>282</v>
      </c>
      <c r="B81" s="4">
        <v>9066.1</v>
      </c>
      <c r="C81" s="4">
        <v>33381978</v>
      </c>
      <c r="D81" s="4">
        <v>33381978</v>
      </c>
      <c r="E81">
        <f t="shared" si="7"/>
        <v>333819.8</v>
      </c>
      <c r="F81">
        <f t="shared" si="8"/>
        <v>333819.8</v>
      </c>
      <c r="G81">
        <f t="shared" si="9"/>
        <v>60.7</v>
      </c>
      <c r="H81">
        <f t="shared" si="10"/>
        <v>60.7</v>
      </c>
      <c r="I81" s="4">
        <f t="shared" si="11"/>
        <v>71.168999999999997</v>
      </c>
      <c r="J81" s="4">
        <v>200</v>
      </c>
      <c r="K81" s="4">
        <v>200</v>
      </c>
      <c r="L81" s="4">
        <v>24</v>
      </c>
      <c r="M81" s="4">
        <v>141.6</v>
      </c>
      <c r="N81" s="4">
        <v>141.6</v>
      </c>
      <c r="O81" s="4"/>
      <c r="P81" s="4"/>
    </row>
    <row r="82" spans="1:16" x14ac:dyDescent="0.3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spans="1:16" x14ac:dyDescent="0.3">
      <c r="A83" s="6" t="s">
        <v>283</v>
      </c>
      <c r="B83" s="4">
        <v>116.2</v>
      </c>
      <c r="C83" s="4">
        <v>7040.9</v>
      </c>
      <c r="D83" s="4">
        <v>2220.1</v>
      </c>
      <c r="E83">
        <f t="shared" ref="E83:E114" si="12">ROUND(C83/J83*2,1)</f>
        <v>563.29999999999995</v>
      </c>
      <c r="F83">
        <f t="shared" ref="F83:F114" si="13">ROUND(D83/K83*2,1)</f>
        <v>277.5</v>
      </c>
      <c r="G83">
        <f t="shared" ref="G83" si="14">ROUND((C83/B83)^0.5,1)</f>
        <v>7.8</v>
      </c>
      <c r="H83">
        <f t="shared" ref="H83" si="15">ROUND((D83/B83)^0.5,1)</f>
        <v>4.4000000000000004</v>
      </c>
      <c r="I83" s="4">
        <f t="shared" ref="I83" si="16">ROUND(B83*0.00785,3)</f>
        <v>0.91200000000000003</v>
      </c>
      <c r="J83" s="4">
        <v>25</v>
      </c>
      <c r="K83" s="4">
        <v>16</v>
      </c>
      <c r="L83" s="4">
        <v>3</v>
      </c>
      <c r="M83" s="4">
        <v>11.8</v>
      </c>
      <c r="N83" s="4">
        <v>16.399999999999999</v>
      </c>
      <c r="O83" s="4"/>
      <c r="P83" s="4"/>
    </row>
    <row r="84" spans="1:16" x14ac:dyDescent="0.3">
      <c r="A84" s="6" t="s">
        <v>284</v>
      </c>
      <c r="B84" s="4">
        <v>149.9</v>
      </c>
      <c r="C84" s="4">
        <v>8792.4</v>
      </c>
      <c r="D84" s="4">
        <v>2738.7</v>
      </c>
      <c r="E84">
        <f t="shared" si="12"/>
        <v>703.4</v>
      </c>
      <c r="F84">
        <f t="shared" si="13"/>
        <v>342.3</v>
      </c>
      <c r="G84">
        <f t="shared" ref="G84:G147" si="17">ROUND((C84/B84)^0.5,1)</f>
        <v>7.7</v>
      </c>
      <c r="H84">
        <f t="shared" ref="H84:H147" si="18">ROUND((D84/B84)^0.5,1)</f>
        <v>4.3</v>
      </c>
      <c r="I84" s="4">
        <f t="shared" ref="I84:I147" si="19">ROUND(B84*0.00785,3)</f>
        <v>1.177</v>
      </c>
      <c r="J84" s="4">
        <v>25</v>
      </c>
      <c r="K84" s="4">
        <v>16</v>
      </c>
      <c r="L84" s="4">
        <v>4</v>
      </c>
      <c r="M84" s="4">
        <v>11.4</v>
      </c>
      <c r="N84" s="4">
        <v>16</v>
      </c>
      <c r="O84" s="4"/>
      <c r="P84" s="4"/>
    </row>
    <row r="85" spans="1:16" x14ac:dyDescent="0.3">
      <c r="A85" s="6" t="s">
        <v>285</v>
      </c>
      <c r="B85" s="4">
        <v>149.19999999999999</v>
      </c>
      <c r="C85" s="4">
        <v>15259.3</v>
      </c>
      <c r="D85" s="4">
        <v>4587.3999999999996</v>
      </c>
      <c r="E85">
        <f t="shared" si="12"/>
        <v>953.7</v>
      </c>
      <c r="F85">
        <f t="shared" si="13"/>
        <v>458.7</v>
      </c>
      <c r="G85">
        <f t="shared" si="17"/>
        <v>10.1</v>
      </c>
      <c r="H85">
        <f t="shared" si="18"/>
        <v>5.5</v>
      </c>
      <c r="I85" s="4">
        <f t="shared" si="19"/>
        <v>1.171</v>
      </c>
      <c r="J85" s="4">
        <v>32</v>
      </c>
      <c r="K85" s="4">
        <v>20</v>
      </c>
      <c r="L85" s="4">
        <v>3</v>
      </c>
      <c r="M85" s="4">
        <v>15.1</v>
      </c>
      <c r="N85" s="4">
        <v>21.2</v>
      </c>
      <c r="O85" s="4"/>
      <c r="P85" s="4"/>
    </row>
    <row r="86" spans="1:16" x14ac:dyDescent="0.3">
      <c r="A86" s="6" t="s">
        <v>286</v>
      </c>
      <c r="B86" s="4">
        <v>193.9</v>
      </c>
      <c r="C86" s="4">
        <v>19301.599999999999</v>
      </c>
      <c r="D86" s="4">
        <v>5724.6</v>
      </c>
      <c r="E86">
        <f t="shared" si="12"/>
        <v>1206.4000000000001</v>
      </c>
      <c r="F86">
        <f t="shared" si="13"/>
        <v>572.5</v>
      </c>
      <c r="G86">
        <f t="shared" si="17"/>
        <v>10</v>
      </c>
      <c r="H86">
        <f t="shared" si="18"/>
        <v>5.4</v>
      </c>
      <c r="I86" s="4">
        <f t="shared" si="19"/>
        <v>1.522</v>
      </c>
      <c r="J86" s="4">
        <v>32</v>
      </c>
      <c r="K86" s="4">
        <v>20</v>
      </c>
      <c r="L86" s="4">
        <v>4</v>
      </c>
      <c r="M86" s="4">
        <v>14.7</v>
      </c>
      <c r="N86" s="4">
        <v>20.8</v>
      </c>
      <c r="O86" s="4"/>
      <c r="P86" s="4"/>
    </row>
    <row r="87" spans="1:16" x14ac:dyDescent="0.3">
      <c r="A87" s="6" t="s">
        <v>287</v>
      </c>
      <c r="B87" s="4">
        <v>189</v>
      </c>
      <c r="C87" s="4">
        <v>30757.1</v>
      </c>
      <c r="D87" s="4">
        <v>9342.6</v>
      </c>
      <c r="E87">
        <f t="shared" si="12"/>
        <v>1537.9</v>
      </c>
      <c r="F87">
        <f t="shared" si="13"/>
        <v>747.4</v>
      </c>
      <c r="G87">
        <f t="shared" si="17"/>
        <v>12.8</v>
      </c>
      <c r="H87">
        <f t="shared" si="18"/>
        <v>7</v>
      </c>
      <c r="I87" s="4">
        <f t="shared" si="19"/>
        <v>1.484</v>
      </c>
      <c r="J87" s="4">
        <v>40</v>
      </c>
      <c r="K87" s="4">
        <v>25</v>
      </c>
      <c r="L87" s="4">
        <v>3</v>
      </c>
      <c r="M87" s="4">
        <v>19.100000000000001</v>
      </c>
      <c r="N87" s="4">
        <v>26.8</v>
      </c>
      <c r="O87" s="4"/>
      <c r="P87" s="4"/>
    </row>
    <row r="88" spans="1:16" x14ac:dyDescent="0.3">
      <c r="A88" s="6" t="s">
        <v>288</v>
      </c>
      <c r="B88" s="4">
        <v>246.7</v>
      </c>
      <c r="C88" s="4">
        <v>39266.1</v>
      </c>
      <c r="D88" s="4">
        <v>11783.4</v>
      </c>
      <c r="E88">
        <f t="shared" si="12"/>
        <v>1963.3</v>
      </c>
      <c r="F88">
        <f t="shared" si="13"/>
        <v>942.7</v>
      </c>
      <c r="G88">
        <f t="shared" si="17"/>
        <v>12.6</v>
      </c>
      <c r="H88">
        <f t="shared" si="18"/>
        <v>6.9</v>
      </c>
      <c r="I88" s="4">
        <f t="shared" si="19"/>
        <v>1.9370000000000001</v>
      </c>
      <c r="J88" s="4">
        <v>40</v>
      </c>
      <c r="K88" s="4">
        <v>25</v>
      </c>
      <c r="L88" s="4">
        <v>4</v>
      </c>
      <c r="M88" s="4">
        <v>18.7</v>
      </c>
      <c r="N88" s="4">
        <v>26.3</v>
      </c>
      <c r="O88" s="4"/>
      <c r="P88" s="4"/>
    </row>
    <row r="89" spans="1:16" x14ac:dyDescent="0.3">
      <c r="A89" s="6" t="s">
        <v>289</v>
      </c>
      <c r="B89" s="4">
        <v>214.9</v>
      </c>
      <c r="C89" s="4">
        <v>44499.8</v>
      </c>
      <c r="D89" s="4">
        <v>13391.3</v>
      </c>
      <c r="E89">
        <f t="shared" si="12"/>
        <v>1977.8</v>
      </c>
      <c r="F89">
        <f t="shared" si="13"/>
        <v>956.5</v>
      </c>
      <c r="G89">
        <f t="shared" si="17"/>
        <v>14.4</v>
      </c>
      <c r="H89">
        <f t="shared" si="18"/>
        <v>7.9</v>
      </c>
      <c r="I89" s="4">
        <f t="shared" si="19"/>
        <v>1.6870000000000001</v>
      </c>
      <c r="J89" s="4">
        <v>45</v>
      </c>
      <c r="K89" s="4">
        <v>28</v>
      </c>
      <c r="L89" s="4">
        <v>3</v>
      </c>
      <c r="M89" s="4">
        <v>21.6</v>
      </c>
      <c r="N89" s="4">
        <v>30.3</v>
      </c>
      <c r="O89" s="4"/>
      <c r="P89" s="4"/>
    </row>
    <row r="90" spans="1:16" x14ac:dyDescent="0.3">
      <c r="A90" s="6" t="s">
        <v>290</v>
      </c>
      <c r="B90" s="4">
        <v>280.60000000000002</v>
      </c>
      <c r="C90" s="4">
        <v>56989.2</v>
      </c>
      <c r="D90" s="4">
        <v>16970.099999999999</v>
      </c>
      <c r="E90">
        <f t="shared" si="12"/>
        <v>2532.9</v>
      </c>
      <c r="F90">
        <f t="shared" si="13"/>
        <v>1212.2</v>
      </c>
      <c r="G90">
        <f t="shared" si="17"/>
        <v>14.3</v>
      </c>
      <c r="H90">
        <f t="shared" si="18"/>
        <v>7.8</v>
      </c>
      <c r="I90" s="4">
        <f t="shared" si="19"/>
        <v>2.2029999999999998</v>
      </c>
      <c r="J90" s="4">
        <v>45</v>
      </c>
      <c r="K90" s="4">
        <v>28</v>
      </c>
      <c r="L90" s="4">
        <v>4</v>
      </c>
      <c r="M90" s="4">
        <v>21.2</v>
      </c>
      <c r="N90" s="4">
        <v>29.9</v>
      </c>
      <c r="O90" s="4"/>
      <c r="P90" s="4"/>
    </row>
    <row r="91" spans="1:16" x14ac:dyDescent="0.3">
      <c r="A91" s="6" t="s">
        <v>291</v>
      </c>
      <c r="B91" s="4">
        <v>243.1</v>
      </c>
      <c r="C91" s="4">
        <v>62380.800000000003</v>
      </c>
      <c r="D91" s="4">
        <v>20242.2</v>
      </c>
      <c r="E91">
        <f t="shared" si="12"/>
        <v>2495.1999999999998</v>
      </c>
      <c r="F91">
        <f t="shared" si="13"/>
        <v>1265.0999999999999</v>
      </c>
      <c r="G91">
        <f t="shared" si="17"/>
        <v>16</v>
      </c>
      <c r="H91">
        <f t="shared" si="18"/>
        <v>9.1</v>
      </c>
      <c r="I91" s="4">
        <f t="shared" si="19"/>
        <v>1.9079999999999999</v>
      </c>
      <c r="J91" s="4">
        <v>50</v>
      </c>
      <c r="K91" s="4">
        <v>32</v>
      </c>
      <c r="L91" s="4">
        <v>3</v>
      </c>
      <c r="M91" s="4">
        <v>24.7</v>
      </c>
      <c r="N91" s="4">
        <v>34</v>
      </c>
      <c r="O91" s="4"/>
      <c r="P91" s="4"/>
    </row>
    <row r="92" spans="1:16" x14ac:dyDescent="0.3">
      <c r="A92" s="6" t="s">
        <v>292</v>
      </c>
      <c r="B92" s="4">
        <v>317.7</v>
      </c>
      <c r="C92" s="4">
        <v>80162.5</v>
      </c>
      <c r="D92" s="4">
        <v>25784.400000000001</v>
      </c>
      <c r="E92">
        <f t="shared" si="12"/>
        <v>3206.5</v>
      </c>
      <c r="F92">
        <f t="shared" si="13"/>
        <v>1611.5</v>
      </c>
      <c r="G92">
        <f t="shared" si="17"/>
        <v>15.9</v>
      </c>
      <c r="H92">
        <f t="shared" si="18"/>
        <v>9</v>
      </c>
      <c r="I92" s="4">
        <f t="shared" si="19"/>
        <v>2.4940000000000002</v>
      </c>
      <c r="J92" s="4">
        <v>50</v>
      </c>
      <c r="K92" s="4">
        <v>32</v>
      </c>
      <c r="L92" s="4">
        <v>4</v>
      </c>
      <c r="M92" s="4">
        <v>24.3</v>
      </c>
      <c r="N92" s="4">
        <v>33.5</v>
      </c>
      <c r="O92" s="4"/>
      <c r="P92" s="4"/>
    </row>
    <row r="93" spans="1:16" x14ac:dyDescent="0.3">
      <c r="A93" s="6" t="s">
        <v>293</v>
      </c>
      <c r="B93" s="4">
        <v>274.3</v>
      </c>
      <c r="C93" s="4">
        <v>88811.4</v>
      </c>
      <c r="D93" s="4">
        <v>29242.2</v>
      </c>
      <c r="E93">
        <f t="shared" si="12"/>
        <v>3171.8</v>
      </c>
      <c r="F93">
        <f t="shared" si="13"/>
        <v>1624.6</v>
      </c>
      <c r="G93">
        <f t="shared" si="17"/>
        <v>18</v>
      </c>
      <c r="H93">
        <f t="shared" si="18"/>
        <v>10.3</v>
      </c>
      <c r="I93" s="4">
        <f t="shared" si="19"/>
        <v>2.153</v>
      </c>
      <c r="J93" s="4">
        <v>56</v>
      </c>
      <c r="K93" s="4">
        <v>36</v>
      </c>
      <c r="L93" s="4">
        <v>3</v>
      </c>
      <c r="M93" s="4">
        <v>28</v>
      </c>
      <c r="N93" s="4">
        <v>38.200000000000003</v>
      </c>
      <c r="O93" s="4"/>
      <c r="P93" s="4"/>
    </row>
    <row r="94" spans="1:16" x14ac:dyDescent="0.3">
      <c r="A94" s="6" t="s">
        <v>294</v>
      </c>
      <c r="B94" s="4">
        <v>359</v>
      </c>
      <c r="C94" s="4">
        <v>114484.7</v>
      </c>
      <c r="D94" s="4">
        <v>37408.300000000003</v>
      </c>
      <c r="E94">
        <f t="shared" si="12"/>
        <v>4088.7</v>
      </c>
      <c r="F94">
        <f t="shared" si="13"/>
        <v>2078.1999999999998</v>
      </c>
      <c r="G94">
        <f t="shared" si="17"/>
        <v>17.899999999999999</v>
      </c>
      <c r="H94">
        <f t="shared" si="18"/>
        <v>10.199999999999999</v>
      </c>
      <c r="I94" s="4">
        <f t="shared" si="19"/>
        <v>2.8180000000000001</v>
      </c>
      <c r="J94" s="4">
        <v>56</v>
      </c>
      <c r="K94" s="4">
        <v>36</v>
      </c>
      <c r="L94" s="4">
        <v>4</v>
      </c>
      <c r="M94" s="4">
        <v>27.5</v>
      </c>
      <c r="N94" s="4">
        <v>37.799999999999997</v>
      </c>
      <c r="O94" s="4"/>
      <c r="P94" s="4"/>
    </row>
    <row r="95" spans="1:16" x14ac:dyDescent="0.3">
      <c r="A95" s="6" t="s">
        <v>295</v>
      </c>
      <c r="B95" s="4">
        <v>441.5</v>
      </c>
      <c r="C95" s="4">
        <v>138650</v>
      </c>
      <c r="D95" s="4">
        <v>44943.7</v>
      </c>
      <c r="E95">
        <f t="shared" si="12"/>
        <v>4951.8</v>
      </c>
      <c r="F95">
        <f t="shared" si="13"/>
        <v>2496.9</v>
      </c>
      <c r="G95">
        <f t="shared" si="17"/>
        <v>17.7</v>
      </c>
      <c r="H95">
        <f t="shared" si="18"/>
        <v>10.1</v>
      </c>
      <c r="I95" s="4">
        <f t="shared" si="19"/>
        <v>3.4660000000000002</v>
      </c>
      <c r="J95" s="4">
        <v>56</v>
      </c>
      <c r="K95" s="4">
        <v>36</v>
      </c>
      <c r="L95" s="4">
        <v>5</v>
      </c>
      <c r="M95" s="4">
        <v>27.2</v>
      </c>
      <c r="N95" s="4">
        <v>37.299999999999997</v>
      </c>
      <c r="O95" s="4"/>
      <c r="P95" s="4"/>
    </row>
    <row r="96" spans="1:16" x14ac:dyDescent="0.3">
      <c r="A96" s="6" t="s">
        <v>296</v>
      </c>
      <c r="B96" s="4">
        <v>405.8</v>
      </c>
      <c r="C96" s="4">
        <v>164885.4</v>
      </c>
      <c r="D96" s="4">
        <v>52334.400000000001</v>
      </c>
      <c r="E96">
        <f t="shared" si="12"/>
        <v>5234.5</v>
      </c>
      <c r="F96">
        <f t="shared" si="13"/>
        <v>2616.6999999999998</v>
      </c>
      <c r="G96">
        <f t="shared" si="17"/>
        <v>20.2</v>
      </c>
      <c r="H96">
        <f t="shared" si="18"/>
        <v>11.4</v>
      </c>
      <c r="I96" s="4">
        <f t="shared" si="19"/>
        <v>3.1859999999999999</v>
      </c>
      <c r="J96" s="4">
        <v>63</v>
      </c>
      <c r="K96" s="4">
        <v>40</v>
      </c>
      <c r="L96" s="4">
        <v>4</v>
      </c>
      <c r="M96" s="4">
        <v>30.8</v>
      </c>
      <c r="N96" s="4">
        <v>42.6</v>
      </c>
      <c r="O96" s="4"/>
      <c r="P96" s="4"/>
    </row>
    <row r="97" spans="1:16" x14ac:dyDescent="0.3">
      <c r="A97" s="6" t="s">
        <v>297</v>
      </c>
      <c r="B97" s="4">
        <v>499.3</v>
      </c>
      <c r="C97" s="4">
        <v>200171.3</v>
      </c>
      <c r="D97" s="4">
        <v>63083.1</v>
      </c>
      <c r="E97">
        <f t="shared" si="12"/>
        <v>6354.6</v>
      </c>
      <c r="F97">
        <f t="shared" si="13"/>
        <v>3154.2</v>
      </c>
      <c r="G97">
        <f t="shared" si="17"/>
        <v>20</v>
      </c>
      <c r="H97">
        <f t="shared" si="18"/>
        <v>11.2</v>
      </c>
      <c r="I97" s="4">
        <f t="shared" si="19"/>
        <v>3.92</v>
      </c>
      <c r="J97" s="4">
        <v>63</v>
      </c>
      <c r="K97" s="4">
        <v>40</v>
      </c>
      <c r="L97" s="4">
        <v>5</v>
      </c>
      <c r="M97" s="4">
        <v>30.5</v>
      </c>
      <c r="N97" s="4">
        <v>42.2</v>
      </c>
      <c r="O97" s="4"/>
      <c r="P97" s="4"/>
    </row>
    <row r="98" spans="1:16" x14ac:dyDescent="0.3">
      <c r="A98" s="6" t="s">
        <v>298</v>
      </c>
      <c r="B98" s="4">
        <v>590.79999999999995</v>
      </c>
      <c r="C98" s="4">
        <v>233605.2</v>
      </c>
      <c r="D98" s="4">
        <v>73094.7</v>
      </c>
      <c r="E98">
        <f t="shared" si="12"/>
        <v>7416</v>
      </c>
      <c r="F98">
        <f t="shared" si="13"/>
        <v>3654.7</v>
      </c>
      <c r="G98">
        <f t="shared" si="17"/>
        <v>19.899999999999999</v>
      </c>
      <c r="H98">
        <f t="shared" si="18"/>
        <v>11.1</v>
      </c>
      <c r="I98" s="4">
        <f t="shared" si="19"/>
        <v>4.6379999999999999</v>
      </c>
      <c r="J98" s="4">
        <v>63</v>
      </c>
      <c r="K98" s="4">
        <v>40</v>
      </c>
      <c r="L98" s="4">
        <v>6</v>
      </c>
      <c r="M98" s="4">
        <v>30.1</v>
      </c>
      <c r="N98" s="4">
        <v>41.8</v>
      </c>
      <c r="O98" s="4"/>
      <c r="P98" s="4"/>
    </row>
    <row r="99" spans="1:16" x14ac:dyDescent="0.3">
      <c r="A99" s="6" t="s">
        <v>299</v>
      </c>
      <c r="B99" s="4">
        <v>680.2</v>
      </c>
      <c r="C99" s="4">
        <v>265289</v>
      </c>
      <c r="D99" s="4">
        <v>82442.8</v>
      </c>
      <c r="E99">
        <f t="shared" si="12"/>
        <v>8421.9</v>
      </c>
      <c r="F99">
        <f t="shared" si="13"/>
        <v>4122.1000000000004</v>
      </c>
      <c r="G99">
        <f t="shared" si="17"/>
        <v>19.7</v>
      </c>
      <c r="H99">
        <f t="shared" si="18"/>
        <v>11</v>
      </c>
      <c r="I99" s="4">
        <f t="shared" si="19"/>
        <v>5.34</v>
      </c>
      <c r="J99" s="4">
        <v>63</v>
      </c>
      <c r="K99" s="4">
        <v>40</v>
      </c>
      <c r="L99" s="4">
        <v>7</v>
      </c>
      <c r="M99" s="4">
        <v>29.7</v>
      </c>
      <c r="N99" s="4">
        <v>41.5</v>
      </c>
      <c r="O99" s="4"/>
      <c r="P99" s="4"/>
    </row>
    <row r="100" spans="1:16" x14ac:dyDescent="0.3">
      <c r="A100" s="6" t="s">
        <v>300</v>
      </c>
      <c r="B100" s="4">
        <v>455.3</v>
      </c>
      <c r="C100" s="4">
        <v>229666.4</v>
      </c>
      <c r="D100" s="4">
        <v>75510.7</v>
      </c>
      <c r="E100">
        <f t="shared" si="12"/>
        <v>6561.9</v>
      </c>
      <c r="F100">
        <f t="shared" si="13"/>
        <v>3356</v>
      </c>
      <c r="G100">
        <f t="shared" si="17"/>
        <v>22.5</v>
      </c>
      <c r="H100">
        <f t="shared" si="18"/>
        <v>12.9</v>
      </c>
      <c r="I100" s="4">
        <f t="shared" si="19"/>
        <v>3.5739999999999998</v>
      </c>
      <c r="J100" s="4">
        <v>70</v>
      </c>
      <c r="K100" s="4">
        <v>45</v>
      </c>
      <c r="L100" s="4">
        <v>4</v>
      </c>
      <c r="M100" s="4">
        <v>34.799999999999997</v>
      </c>
      <c r="N100" s="4">
        <v>47.7</v>
      </c>
      <c r="O100" s="4"/>
      <c r="P100" s="4"/>
    </row>
    <row r="101" spans="1:16" x14ac:dyDescent="0.3">
      <c r="A101" s="6" t="s">
        <v>301</v>
      </c>
      <c r="B101" s="4">
        <v>560.9</v>
      </c>
      <c r="C101" s="4">
        <v>279503.7</v>
      </c>
      <c r="D101" s="4">
        <v>91328.9</v>
      </c>
      <c r="E101">
        <f t="shared" si="12"/>
        <v>7985.8</v>
      </c>
      <c r="F101">
        <f t="shared" si="13"/>
        <v>4059.1</v>
      </c>
      <c r="G101">
        <f t="shared" si="17"/>
        <v>22.3</v>
      </c>
      <c r="H101">
        <f t="shared" si="18"/>
        <v>12.8</v>
      </c>
      <c r="I101" s="4">
        <f t="shared" si="19"/>
        <v>4.4029999999999996</v>
      </c>
      <c r="J101" s="4">
        <v>70</v>
      </c>
      <c r="K101" s="4">
        <v>45</v>
      </c>
      <c r="L101" s="4">
        <v>5</v>
      </c>
      <c r="M101" s="4">
        <v>34.4</v>
      </c>
      <c r="N101" s="4">
        <v>47.2</v>
      </c>
      <c r="O101" s="4"/>
      <c r="P101" s="4"/>
    </row>
    <row r="102" spans="1:16" x14ac:dyDescent="0.3">
      <c r="A102" s="6" t="s">
        <v>302</v>
      </c>
      <c r="B102" s="4">
        <v>664.4</v>
      </c>
      <c r="C102" s="4">
        <v>326985</v>
      </c>
      <c r="D102" s="4">
        <v>106161.7</v>
      </c>
      <c r="E102">
        <f t="shared" si="12"/>
        <v>9342.4</v>
      </c>
      <c r="F102">
        <f t="shared" si="13"/>
        <v>4718.3</v>
      </c>
      <c r="G102">
        <f t="shared" si="17"/>
        <v>22.2</v>
      </c>
      <c r="H102">
        <f t="shared" si="18"/>
        <v>12.6</v>
      </c>
      <c r="I102" s="4">
        <f t="shared" si="19"/>
        <v>5.2160000000000002</v>
      </c>
      <c r="J102" s="4">
        <v>70</v>
      </c>
      <c r="K102" s="4">
        <v>45</v>
      </c>
      <c r="L102" s="4">
        <v>6</v>
      </c>
      <c r="M102" s="4">
        <v>34</v>
      </c>
      <c r="N102" s="4">
        <v>46.8</v>
      </c>
      <c r="O102" s="4"/>
      <c r="P102" s="4"/>
    </row>
    <row r="103" spans="1:16" x14ac:dyDescent="0.3">
      <c r="A103" s="6" t="s">
        <v>303</v>
      </c>
      <c r="B103" s="4">
        <v>765.7</v>
      </c>
      <c r="C103" s="4">
        <v>372226.2</v>
      </c>
      <c r="D103" s="4">
        <v>120093.6</v>
      </c>
      <c r="E103">
        <f t="shared" si="12"/>
        <v>10635</v>
      </c>
      <c r="F103">
        <f t="shared" si="13"/>
        <v>5337.5</v>
      </c>
      <c r="G103">
        <f t="shared" si="17"/>
        <v>22</v>
      </c>
      <c r="H103">
        <f t="shared" si="18"/>
        <v>12.5</v>
      </c>
      <c r="I103" s="4">
        <f t="shared" si="19"/>
        <v>6.0110000000000001</v>
      </c>
      <c r="J103" s="4">
        <v>70</v>
      </c>
      <c r="K103" s="4">
        <v>45</v>
      </c>
      <c r="L103" s="4">
        <v>7</v>
      </c>
      <c r="M103" s="4">
        <v>33.700000000000003</v>
      </c>
      <c r="N103" s="4">
        <v>46.4</v>
      </c>
      <c r="O103" s="4"/>
      <c r="P103" s="4"/>
    </row>
    <row r="104" spans="1:16" x14ac:dyDescent="0.3">
      <c r="A104" s="6" t="s">
        <v>304</v>
      </c>
      <c r="B104" s="4">
        <v>612.5</v>
      </c>
      <c r="C104" s="4">
        <v>350947</v>
      </c>
      <c r="D104" s="4">
        <v>126133.4</v>
      </c>
      <c r="E104">
        <f t="shared" si="12"/>
        <v>9358.6</v>
      </c>
      <c r="F104">
        <f t="shared" si="13"/>
        <v>5045.3</v>
      </c>
      <c r="G104">
        <f t="shared" si="17"/>
        <v>23.9</v>
      </c>
      <c r="H104">
        <f t="shared" si="18"/>
        <v>14.4</v>
      </c>
      <c r="I104" s="4">
        <f t="shared" si="19"/>
        <v>4.8079999999999998</v>
      </c>
      <c r="J104" s="4">
        <v>75</v>
      </c>
      <c r="K104" s="4">
        <v>50</v>
      </c>
      <c r="L104" s="4">
        <v>5</v>
      </c>
      <c r="M104" s="4">
        <v>38.299999999999997</v>
      </c>
      <c r="N104" s="4">
        <v>51</v>
      </c>
      <c r="O104" s="4"/>
      <c r="P104" s="4"/>
    </row>
    <row r="105" spans="1:16" x14ac:dyDescent="0.3">
      <c r="A105" s="6" t="s">
        <v>305</v>
      </c>
      <c r="B105" s="4">
        <v>726</v>
      </c>
      <c r="C105" s="4">
        <v>411212.5</v>
      </c>
      <c r="D105" s="4">
        <v>146993.20000000001</v>
      </c>
      <c r="E105">
        <f t="shared" si="12"/>
        <v>10965.7</v>
      </c>
      <c r="F105">
        <f t="shared" si="13"/>
        <v>5879.7</v>
      </c>
      <c r="G105">
        <f t="shared" si="17"/>
        <v>23.8</v>
      </c>
      <c r="H105">
        <f t="shared" si="18"/>
        <v>14.2</v>
      </c>
      <c r="I105" s="4">
        <f t="shared" si="19"/>
        <v>5.6989999999999998</v>
      </c>
      <c r="J105" s="4">
        <v>75</v>
      </c>
      <c r="K105" s="4">
        <v>50</v>
      </c>
      <c r="L105" s="4">
        <v>6</v>
      </c>
      <c r="M105" s="4">
        <v>37.9</v>
      </c>
      <c r="N105" s="4">
        <v>50.6</v>
      </c>
      <c r="O105" s="4"/>
      <c r="P105" s="4"/>
    </row>
    <row r="106" spans="1:16" x14ac:dyDescent="0.3">
      <c r="A106" s="6" t="s">
        <v>306</v>
      </c>
      <c r="B106" s="4">
        <v>946.7</v>
      </c>
      <c r="C106" s="4">
        <v>523942.8</v>
      </c>
      <c r="D106" s="4">
        <v>185295.7</v>
      </c>
      <c r="E106">
        <f t="shared" si="12"/>
        <v>13971.8</v>
      </c>
      <c r="F106">
        <f t="shared" si="13"/>
        <v>7411.8</v>
      </c>
      <c r="G106">
        <f t="shared" si="17"/>
        <v>23.5</v>
      </c>
      <c r="H106">
        <f t="shared" si="18"/>
        <v>14</v>
      </c>
      <c r="I106" s="4">
        <f t="shared" si="19"/>
        <v>7.4320000000000004</v>
      </c>
      <c r="J106" s="4">
        <v>75</v>
      </c>
      <c r="K106" s="4">
        <v>50</v>
      </c>
      <c r="L106" s="4">
        <v>8</v>
      </c>
      <c r="M106" s="4">
        <v>37.1</v>
      </c>
      <c r="N106" s="4">
        <v>49.8</v>
      </c>
      <c r="O106" s="4"/>
      <c r="P106" s="4"/>
    </row>
    <row r="107" spans="1:16" x14ac:dyDescent="0.3">
      <c r="A107" s="6" t="s">
        <v>307</v>
      </c>
      <c r="B107" s="4">
        <v>1159</v>
      </c>
      <c r="C107" s="4">
        <v>627064.1</v>
      </c>
      <c r="D107" s="4">
        <v>219635</v>
      </c>
      <c r="E107">
        <f t="shared" si="12"/>
        <v>16721.7</v>
      </c>
      <c r="F107">
        <f t="shared" si="13"/>
        <v>8785.4</v>
      </c>
      <c r="G107">
        <f t="shared" si="17"/>
        <v>23.3</v>
      </c>
      <c r="H107">
        <f t="shared" si="18"/>
        <v>13.8</v>
      </c>
      <c r="I107" s="4">
        <f t="shared" si="19"/>
        <v>9.0980000000000008</v>
      </c>
      <c r="J107" s="4">
        <v>75</v>
      </c>
      <c r="K107" s="4">
        <v>50</v>
      </c>
      <c r="L107" s="4">
        <v>10</v>
      </c>
      <c r="M107" s="4">
        <v>36.4</v>
      </c>
      <c r="N107" s="4">
        <v>49</v>
      </c>
      <c r="O107" s="4"/>
      <c r="P107" s="4"/>
    </row>
    <row r="108" spans="1:16" x14ac:dyDescent="0.3">
      <c r="A108" s="6" t="s">
        <v>308</v>
      </c>
      <c r="B108" s="4">
        <v>637.5</v>
      </c>
      <c r="C108" s="4">
        <v>419571.1</v>
      </c>
      <c r="D108" s="4">
        <v>128232.3</v>
      </c>
      <c r="E108">
        <f t="shared" si="12"/>
        <v>10489.3</v>
      </c>
      <c r="F108">
        <f t="shared" si="13"/>
        <v>5129.3</v>
      </c>
      <c r="G108">
        <f t="shared" si="17"/>
        <v>25.7</v>
      </c>
      <c r="H108">
        <f t="shared" si="18"/>
        <v>14.2</v>
      </c>
      <c r="I108" s="4">
        <f t="shared" si="19"/>
        <v>5.0039999999999996</v>
      </c>
      <c r="J108" s="4">
        <v>80</v>
      </c>
      <c r="K108" s="4">
        <v>50</v>
      </c>
      <c r="L108" s="4">
        <v>5</v>
      </c>
      <c r="M108" s="4">
        <v>38.6</v>
      </c>
      <c r="N108" s="4">
        <v>54</v>
      </c>
      <c r="O108" s="4"/>
      <c r="P108" s="4"/>
    </row>
    <row r="109" spans="1:16" x14ac:dyDescent="0.3">
      <c r="A109" s="6" t="s">
        <v>309</v>
      </c>
      <c r="B109" s="4">
        <v>756</v>
      </c>
      <c r="C109" s="4">
        <v>492113.3</v>
      </c>
      <c r="D109" s="4">
        <v>149481.1</v>
      </c>
      <c r="E109">
        <f t="shared" si="12"/>
        <v>12302.8</v>
      </c>
      <c r="F109">
        <f t="shared" si="13"/>
        <v>5979.2</v>
      </c>
      <c r="G109">
        <f t="shared" si="17"/>
        <v>25.5</v>
      </c>
      <c r="H109">
        <f t="shared" si="18"/>
        <v>14.1</v>
      </c>
      <c r="I109" s="4">
        <f t="shared" si="19"/>
        <v>5.9349999999999996</v>
      </c>
      <c r="J109" s="4">
        <v>80</v>
      </c>
      <c r="K109" s="4">
        <v>50</v>
      </c>
      <c r="L109" s="4">
        <v>6</v>
      </c>
      <c r="M109" s="4">
        <v>38.200000000000003</v>
      </c>
      <c r="N109" s="4">
        <v>53.5</v>
      </c>
      <c r="O109" s="4"/>
      <c r="P109" s="4"/>
    </row>
    <row r="110" spans="1:16" x14ac:dyDescent="0.3">
      <c r="A110" s="6" t="s">
        <v>310</v>
      </c>
      <c r="B110" s="4">
        <v>872.4</v>
      </c>
      <c r="C110" s="4">
        <v>561632.1</v>
      </c>
      <c r="D110" s="4">
        <v>169550.5</v>
      </c>
      <c r="E110">
        <f t="shared" si="12"/>
        <v>14040.8</v>
      </c>
      <c r="F110">
        <f t="shared" si="13"/>
        <v>6782</v>
      </c>
      <c r="G110">
        <f t="shared" si="17"/>
        <v>25.4</v>
      </c>
      <c r="H110">
        <f t="shared" si="18"/>
        <v>13.9</v>
      </c>
      <c r="I110" s="4">
        <f t="shared" si="19"/>
        <v>6.8479999999999999</v>
      </c>
      <c r="J110" s="4">
        <v>80</v>
      </c>
      <c r="K110" s="4">
        <v>50</v>
      </c>
      <c r="L110" s="4">
        <v>7</v>
      </c>
      <c r="M110" s="4">
        <v>37.9</v>
      </c>
      <c r="N110" s="4">
        <v>53.1</v>
      </c>
      <c r="O110" s="4"/>
      <c r="P110" s="4"/>
    </row>
    <row r="111" spans="1:16" x14ac:dyDescent="0.3">
      <c r="A111" s="6" t="s">
        <v>311</v>
      </c>
      <c r="B111" s="4">
        <v>986.7</v>
      </c>
      <c r="C111" s="4">
        <v>628257.4</v>
      </c>
      <c r="D111" s="4">
        <v>188534.2</v>
      </c>
      <c r="E111">
        <f t="shared" si="12"/>
        <v>15706.4</v>
      </c>
      <c r="F111">
        <f t="shared" si="13"/>
        <v>7541.4</v>
      </c>
      <c r="G111">
        <f t="shared" si="17"/>
        <v>25.2</v>
      </c>
      <c r="H111">
        <f t="shared" si="18"/>
        <v>13.8</v>
      </c>
      <c r="I111" s="4">
        <f t="shared" si="19"/>
        <v>7.7460000000000004</v>
      </c>
      <c r="J111" s="4">
        <v>80</v>
      </c>
      <c r="K111" s="4">
        <v>50</v>
      </c>
      <c r="L111" s="4">
        <v>8</v>
      </c>
      <c r="M111" s="4">
        <v>37.5</v>
      </c>
      <c r="N111" s="4">
        <v>52.7</v>
      </c>
      <c r="O111" s="4"/>
      <c r="P111" s="4"/>
    </row>
    <row r="112" spans="1:16" x14ac:dyDescent="0.3">
      <c r="A112" s="6" t="s">
        <v>312</v>
      </c>
      <c r="B112" s="4">
        <v>721.2</v>
      </c>
      <c r="C112" s="4">
        <v>604462.4</v>
      </c>
      <c r="D112" s="4">
        <v>183255.3</v>
      </c>
      <c r="E112">
        <f t="shared" si="12"/>
        <v>13432.5</v>
      </c>
      <c r="F112">
        <f t="shared" si="13"/>
        <v>6544.8</v>
      </c>
      <c r="G112">
        <f t="shared" si="17"/>
        <v>29</v>
      </c>
      <c r="H112">
        <f t="shared" si="18"/>
        <v>15.9</v>
      </c>
      <c r="I112" s="4">
        <f t="shared" si="19"/>
        <v>5.6609999999999996</v>
      </c>
      <c r="J112" s="4">
        <v>90</v>
      </c>
      <c r="K112" s="4">
        <v>56</v>
      </c>
      <c r="L112" s="4">
        <v>5</v>
      </c>
      <c r="M112" s="4">
        <v>43.5</v>
      </c>
      <c r="N112" s="4">
        <v>60.9</v>
      </c>
      <c r="O112" s="4"/>
      <c r="P112" s="4"/>
    </row>
    <row r="113" spans="1:16" x14ac:dyDescent="0.3">
      <c r="A113" s="6" t="s">
        <v>313</v>
      </c>
      <c r="B113" s="4">
        <v>855.7</v>
      </c>
      <c r="C113" s="4">
        <v>710298.4</v>
      </c>
      <c r="D113" s="4">
        <v>214184.1</v>
      </c>
      <c r="E113">
        <f t="shared" si="12"/>
        <v>15784.4</v>
      </c>
      <c r="F113">
        <f t="shared" si="13"/>
        <v>7649.4</v>
      </c>
      <c r="G113">
        <f t="shared" si="17"/>
        <v>28.8</v>
      </c>
      <c r="H113">
        <f t="shared" si="18"/>
        <v>15.8</v>
      </c>
      <c r="I113" s="4">
        <f t="shared" si="19"/>
        <v>6.7169999999999996</v>
      </c>
      <c r="J113" s="4">
        <v>90</v>
      </c>
      <c r="K113" s="4">
        <v>56</v>
      </c>
      <c r="L113" s="4">
        <v>6</v>
      </c>
      <c r="M113" s="4">
        <v>43.1</v>
      </c>
      <c r="N113" s="4">
        <v>60.5</v>
      </c>
      <c r="O113" s="4"/>
      <c r="P113" s="4"/>
    </row>
    <row r="114" spans="1:16" x14ac:dyDescent="0.3">
      <c r="A114" s="6" t="s">
        <v>314</v>
      </c>
      <c r="B114" s="4">
        <v>988</v>
      </c>
      <c r="C114" s="4">
        <v>812197.6</v>
      </c>
      <c r="D114" s="4">
        <v>243555.3</v>
      </c>
      <c r="E114">
        <f t="shared" si="12"/>
        <v>18048.8</v>
      </c>
      <c r="F114">
        <f t="shared" si="13"/>
        <v>8698.4</v>
      </c>
      <c r="G114">
        <f t="shared" si="17"/>
        <v>28.7</v>
      </c>
      <c r="H114">
        <f t="shared" si="18"/>
        <v>15.7</v>
      </c>
      <c r="I114" s="4">
        <f t="shared" si="19"/>
        <v>7.7560000000000002</v>
      </c>
      <c r="J114" s="4">
        <v>90</v>
      </c>
      <c r="K114" s="4">
        <v>56</v>
      </c>
      <c r="L114" s="4">
        <v>7</v>
      </c>
      <c r="M114" s="4">
        <v>42.7</v>
      </c>
      <c r="N114" s="4">
        <v>60</v>
      </c>
      <c r="O114" s="4"/>
      <c r="P114" s="4"/>
    </row>
    <row r="115" spans="1:16" x14ac:dyDescent="0.3">
      <c r="A115" s="6" t="s">
        <v>315</v>
      </c>
      <c r="B115" s="4">
        <v>1118.3</v>
      </c>
      <c r="C115" s="4">
        <v>910310.2</v>
      </c>
      <c r="D115" s="4">
        <v>271476.2</v>
      </c>
      <c r="E115">
        <f t="shared" ref="E115:E147" si="20">ROUND(C115/J115*2,1)</f>
        <v>20229.099999999999</v>
      </c>
      <c r="F115">
        <f t="shared" ref="F115:F147" si="21">ROUND(D115/K115*2,1)</f>
        <v>9695.6</v>
      </c>
      <c r="G115">
        <f t="shared" si="17"/>
        <v>28.5</v>
      </c>
      <c r="H115">
        <f t="shared" si="18"/>
        <v>15.6</v>
      </c>
      <c r="I115" s="4">
        <f t="shared" si="19"/>
        <v>8.7789999999999999</v>
      </c>
      <c r="J115" s="4">
        <v>90</v>
      </c>
      <c r="K115" s="4">
        <v>56</v>
      </c>
      <c r="L115" s="4">
        <v>8</v>
      </c>
      <c r="M115" s="4">
        <v>42.4</v>
      </c>
      <c r="N115" s="4">
        <v>59.6</v>
      </c>
      <c r="O115" s="4"/>
      <c r="P115" s="4"/>
    </row>
    <row r="116" spans="1:16" x14ac:dyDescent="0.3">
      <c r="A116" s="6" t="s">
        <v>316</v>
      </c>
      <c r="B116" s="4">
        <v>961.7</v>
      </c>
      <c r="C116" s="4">
        <v>990609.2</v>
      </c>
      <c r="D116" s="4">
        <v>309359.40000000002</v>
      </c>
      <c r="E116">
        <f t="shared" si="20"/>
        <v>19812.2</v>
      </c>
      <c r="F116">
        <f t="shared" si="21"/>
        <v>9820.9</v>
      </c>
      <c r="G116">
        <f t="shared" si="17"/>
        <v>32.1</v>
      </c>
      <c r="H116">
        <f t="shared" si="18"/>
        <v>17.899999999999999</v>
      </c>
      <c r="I116" s="4">
        <f t="shared" si="19"/>
        <v>7.5490000000000004</v>
      </c>
      <c r="J116" s="4">
        <v>100</v>
      </c>
      <c r="K116" s="4">
        <v>63</v>
      </c>
      <c r="L116" s="4">
        <v>6</v>
      </c>
      <c r="M116" s="4">
        <v>48.7</v>
      </c>
      <c r="N116" s="4">
        <v>67.599999999999994</v>
      </c>
      <c r="O116" s="4"/>
      <c r="P116" s="4"/>
    </row>
    <row r="117" spans="1:16" x14ac:dyDescent="0.3">
      <c r="A117" s="6" t="s">
        <v>317</v>
      </c>
      <c r="B117" s="4">
        <v>1111.0999999999999</v>
      </c>
      <c r="C117" s="4">
        <v>1134539.3</v>
      </c>
      <c r="D117" s="4">
        <v>352616.4</v>
      </c>
      <c r="E117">
        <f t="shared" si="20"/>
        <v>22690.799999999999</v>
      </c>
      <c r="F117">
        <f t="shared" si="21"/>
        <v>11194.2</v>
      </c>
      <c r="G117">
        <f t="shared" si="17"/>
        <v>32</v>
      </c>
      <c r="H117">
        <f t="shared" si="18"/>
        <v>17.8</v>
      </c>
      <c r="I117" s="4">
        <f t="shared" si="19"/>
        <v>8.7219999999999995</v>
      </c>
      <c r="J117" s="4">
        <v>100</v>
      </c>
      <c r="K117" s="4">
        <v>63</v>
      </c>
      <c r="L117" s="4">
        <v>7</v>
      </c>
      <c r="M117" s="4">
        <v>48.3</v>
      </c>
      <c r="N117" s="4">
        <v>67.2</v>
      </c>
      <c r="O117" s="4"/>
      <c r="P117" s="4"/>
    </row>
    <row r="118" spans="1:16" x14ac:dyDescent="0.3">
      <c r="A118" s="6" t="s">
        <v>318</v>
      </c>
      <c r="B118" s="4">
        <v>1258.4000000000001</v>
      </c>
      <c r="C118" s="4">
        <v>1273655.5</v>
      </c>
      <c r="D118" s="4">
        <v>393935.6</v>
      </c>
      <c r="E118">
        <f t="shared" si="20"/>
        <v>25473.1</v>
      </c>
      <c r="F118">
        <f t="shared" si="21"/>
        <v>12505.9</v>
      </c>
      <c r="G118">
        <f t="shared" si="17"/>
        <v>31.8</v>
      </c>
      <c r="H118">
        <f t="shared" si="18"/>
        <v>17.7</v>
      </c>
      <c r="I118" s="4">
        <f t="shared" si="19"/>
        <v>9.8780000000000001</v>
      </c>
      <c r="J118" s="4">
        <v>100</v>
      </c>
      <c r="K118" s="4">
        <v>63</v>
      </c>
      <c r="L118" s="4">
        <v>8</v>
      </c>
      <c r="M118" s="4">
        <v>48</v>
      </c>
      <c r="N118" s="4">
        <v>66.8</v>
      </c>
      <c r="O118" s="4"/>
      <c r="P118" s="4"/>
    </row>
    <row r="119" spans="1:16" x14ac:dyDescent="0.3">
      <c r="A119" s="6" t="s">
        <v>319</v>
      </c>
      <c r="B119" s="4">
        <v>1546.7</v>
      </c>
      <c r="C119" s="4">
        <v>1538104.3</v>
      </c>
      <c r="D119" s="4">
        <v>471235.7</v>
      </c>
      <c r="E119">
        <f t="shared" si="20"/>
        <v>30762.1</v>
      </c>
      <c r="F119">
        <f t="shared" si="21"/>
        <v>14959.9</v>
      </c>
      <c r="G119">
        <f t="shared" si="17"/>
        <v>31.5</v>
      </c>
      <c r="H119">
        <f t="shared" si="18"/>
        <v>17.5</v>
      </c>
      <c r="I119" s="4">
        <f t="shared" si="19"/>
        <v>12.141999999999999</v>
      </c>
      <c r="J119" s="4">
        <v>100</v>
      </c>
      <c r="K119" s="4">
        <v>63</v>
      </c>
      <c r="L119" s="4">
        <v>10</v>
      </c>
      <c r="M119" s="4">
        <v>47.2</v>
      </c>
      <c r="N119" s="4">
        <v>66</v>
      </c>
      <c r="O119" s="4"/>
      <c r="P119" s="4"/>
    </row>
    <row r="120" spans="1:16" x14ac:dyDescent="0.3">
      <c r="A120" s="6" t="s">
        <v>320</v>
      </c>
      <c r="B120" s="4">
        <v>1063.7</v>
      </c>
      <c r="C120" s="4">
        <v>1070355.5</v>
      </c>
      <c r="D120" s="4">
        <v>612437.4</v>
      </c>
      <c r="E120">
        <f t="shared" si="20"/>
        <v>21407.1</v>
      </c>
      <c r="F120">
        <f t="shared" si="21"/>
        <v>15310.9</v>
      </c>
      <c r="G120">
        <f t="shared" si="17"/>
        <v>31.7</v>
      </c>
      <c r="H120">
        <f t="shared" si="18"/>
        <v>24</v>
      </c>
      <c r="I120" s="4">
        <f t="shared" si="19"/>
        <v>8.35</v>
      </c>
      <c r="J120" s="4">
        <v>100</v>
      </c>
      <c r="K120" s="4">
        <v>80</v>
      </c>
      <c r="L120" s="4">
        <v>6</v>
      </c>
      <c r="M120" s="4">
        <v>60.3</v>
      </c>
      <c r="N120" s="4">
        <v>70.5</v>
      </c>
      <c r="O120" s="4"/>
      <c r="P120" s="4"/>
    </row>
    <row r="121" spans="1:16" x14ac:dyDescent="0.3">
      <c r="A121" s="6" t="s">
        <v>321</v>
      </c>
      <c r="B121" s="4">
        <v>1230.0999999999999</v>
      </c>
      <c r="C121" s="4">
        <v>1227311.2</v>
      </c>
      <c r="D121" s="4">
        <v>700750.6</v>
      </c>
      <c r="E121">
        <f t="shared" si="20"/>
        <v>24546.2</v>
      </c>
      <c r="F121">
        <f t="shared" si="21"/>
        <v>17518.8</v>
      </c>
      <c r="G121">
        <f t="shared" si="17"/>
        <v>31.6</v>
      </c>
      <c r="H121">
        <f t="shared" si="18"/>
        <v>23.9</v>
      </c>
      <c r="I121" s="4">
        <f t="shared" si="19"/>
        <v>9.6560000000000006</v>
      </c>
      <c r="J121" s="4">
        <v>100</v>
      </c>
      <c r="K121" s="4">
        <v>80</v>
      </c>
      <c r="L121" s="4">
        <v>7</v>
      </c>
      <c r="M121" s="4">
        <v>59.9</v>
      </c>
      <c r="N121" s="4">
        <v>70</v>
      </c>
      <c r="O121" s="4"/>
      <c r="P121" s="4"/>
    </row>
    <row r="122" spans="1:16" x14ac:dyDescent="0.3">
      <c r="A122" s="6" t="s">
        <v>322</v>
      </c>
      <c r="B122" s="4">
        <v>1394.4</v>
      </c>
      <c r="C122" s="4">
        <v>1379243.7</v>
      </c>
      <c r="D122" s="4">
        <v>785773</v>
      </c>
      <c r="E122">
        <f t="shared" si="20"/>
        <v>27584.9</v>
      </c>
      <c r="F122">
        <f t="shared" si="21"/>
        <v>19644.3</v>
      </c>
      <c r="G122">
        <f t="shared" si="17"/>
        <v>31.5</v>
      </c>
      <c r="H122">
        <f t="shared" si="18"/>
        <v>23.7</v>
      </c>
      <c r="I122" s="4">
        <f t="shared" si="19"/>
        <v>10.946</v>
      </c>
      <c r="J122" s="4">
        <v>100</v>
      </c>
      <c r="K122" s="4">
        <v>80</v>
      </c>
      <c r="L122" s="4">
        <v>8</v>
      </c>
      <c r="M122" s="4">
        <v>59.5</v>
      </c>
      <c r="N122" s="4">
        <v>69.599999999999994</v>
      </c>
      <c r="O122" s="4"/>
      <c r="P122" s="4"/>
    </row>
    <row r="123" spans="1:16" x14ac:dyDescent="0.3">
      <c r="A123" s="6" t="s">
        <v>323</v>
      </c>
      <c r="B123" s="4">
        <v>1716.7</v>
      </c>
      <c r="C123" s="4">
        <v>1668714</v>
      </c>
      <c r="D123" s="4">
        <v>946522.2</v>
      </c>
      <c r="E123">
        <f t="shared" si="20"/>
        <v>33374.300000000003</v>
      </c>
      <c r="F123">
        <f t="shared" si="21"/>
        <v>23663.1</v>
      </c>
      <c r="G123">
        <f t="shared" si="17"/>
        <v>31.2</v>
      </c>
      <c r="H123">
        <f t="shared" si="18"/>
        <v>23.5</v>
      </c>
      <c r="I123" s="4">
        <f t="shared" si="19"/>
        <v>13.476000000000001</v>
      </c>
      <c r="J123" s="4">
        <v>100</v>
      </c>
      <c r="K123" s="4">
        <v>80</v>
      </c>
      <c r="L123" s="4">
        <v>10</v>
      </c>
      <c r="M123" s="4">
        <v>58.7</v>
      </c>
      <c r="N123" s="4">
        <v>68.8</v>
      </c>
      <c r="O123" s="4"/>
      <c r="P123" s="4"/>
    </row>
    <row r="124" spans="1:16" x14ac:dyDescent="0.3">
      <c r="A124" s="6" t="s">
        <v>324</v>
      </c>
      <c r="B124" s="4">
        <v>1063.7</v>
      </c>
      <c r="C124" s="4">
        <v>1333718.6000000001</v>
      </c>
      <c r="D124" s="4">
        <v>429156.1</v>
      </c>
      <c r="E124">
        <f t="shared" si="20"/>
        <v>24249.4</v>
      </c>
      <c r="F124">
        <f t="shared" si="21"/>
        <v>12261.6</v>
      </c>
      <c r="G124">
        <f t="shared" si="17"/>
        <v>35.4</v>
      </c>
      <c r="H124">
        <f t="shared" si="18"/>
        <v>20.100000000000001</v>
      </c>
      <c r="I124" s="4">
        <f t="shared" si="19"/>
        <v>8.35</v>
      </c>
      <c r="J124" s="4">
        <v>110</v>
      </c>
      <c r="K124" s="4">
        <v>70</v>
      </c>
      <c r="L124" s="4">
        <v>6</v>
      </c>
      <c r="M124" s="4">
        <v>54.3</v>
      </c>
      <c r="N124" s="4">
        <v>74.7</v>
      </c>
      <c r="O124" s="4"/>
      <c r="P124" s="4"/>
    </row>
    <row r="125" spans="1:16" x14ac:dyDescent="0.3">
      <c r="A125" s="6" t="s">
        <v>325</v>
      </c>
      <c r="B125" s="4">
        <v>1230.0999999999999</v>
      </c>
      <c r="C125" s="4">
        <v>1530029.4</v>
      </c>
      <c r="D125" s="4">
        <v>490175.4</v>
      </c>
      <c r="E125">
        <f t="shared" si="20"/>
        <v>27818.7</v>
      </c>
      <c r="F125">
        <f t="shared" si="21"/>
        <v>14005</v>
      </c>
      <c r="G125">
        <f t="shared" si="17"/>
        <v>35.299999999999997</v>
      </c>
      <c r="H125">
        <f t="shared" si="18"/>
        <v>20</v>
      </c>
      <c r="I125" s="4">
        <f t="shared" si="19"/>
        <v>9.6560000000000006</v>
      </c>
      <c r="J125" s="4">
        <v>110</v>
      </c>
      <c r="K125" s="4">
        <v>70</v>
      </c>
      <c r="L125" s="4">
        <v>7</v>
      </c>
      <c r="M125" s="4">
        <v>53.9</v>
      </c>
      <c r="N125" s="4">
        <v>74.3</v>
      </c>
      <c r="O125" s="4"/>
      <c r="P125" s="4"/>
    </row>
    <row r="126" spans="1:16" x14ac:dyDescent="0.3">
      <c r="A126" s="6" t="s">
        <v>326</v>
      </c>
      <c r="B126" s="4">
        <v>1394.4</v>
      </c>
      <c r="C126" s="4">
        <v>1720377.4</v>
      </c>
      <c r="D126" s="4">
        <v>548697.30000000005</v>
      </c>
      <c r="E126">
        <f t="shared" si="20"/>
        <v>31279.599999999999</v>
      </c>
      <c r="F126">
        <f t="shared" si="21"/>
        <v>15677.1</v>
      </c>
      <c r="G126">
        <f t="shared" si="17"/>
        <v>35.1</v>
      </c>
      <c r="H126">
        <f t="shared" si="18"/>
        <v>19.8</v>
      </c>
      <c r="I126" s="4">
        <f t="shared" si="19"/>
        <v>10.946</v>
      </c>
      <c r="J126" s="4">
        <v>110</v>
      </c>
      <c r="K126" s="4">
        <v>70</v>
      </c>
      <c r="L126" s="4">
        <v>8</v>
      </c>
      <c r="M126" s="4">
        <v>53.5</v>
      </c>
      <c r="N126" s="4">
        <v>73.8</v>
      </c>
      <c r="O126" s="4"/>
      <c r="P126" s="4"/>
    </row>
    <row r="127" spans="1:16" x14ac:dyDescent="0.3">
      <c r="A127" s="6" t="s">
        <v>327</v>
      </c>
      <c r="B127" s="4">
        <v>1716.7</v>
      </c>
      <c r="C127" s="4">
        <v>2083918.1</v>
      </c>
      <c r="D127" s="4">
        <v>658784.4</v>
      </c>
      <c r="E127">
        <f t="shared" si="20"/>
        <v>37889.4</v>
      </c>
      <c r="F127">
        <f t="shared" si="21"/>
        <v>18822.400000000001</v>
      </c>
      <c r="G127">
        <f t="shared" si="17"/>
        <v>34.799999999999997</v>
      </c>
      <c r="H127">
        <f t="shared" si="18"/>
        <v>19.600000000000001</v>
      </c>
      <c r="I127" s="4">
        <f t="shared" si="19"/>
        <v>13.476000000000001</v>
      </c>
      <c r="J127" s="4">
        <v>110</v>
      </c>
      <c r="K127" s="4">
        <v>70</v>
      </c>
      <c r="L127" s="4">
        <v>10</v>
      </c>
      <c r="M127" s="4">
        <v>52.8</v>
      </c>
      <c r="N127" s="4">
        <v>73</v>
      </c>
      <c r="O127" s="4"/>
      <c r="P127" s="4"/>
    </row>
    <row r="128" spans="1:16" x14ac:dyDescent="0.3">
      <c r="A128" s="6" t="s">
        <v>328</v>
      </c>
      <c r="B128" s="4">
        <v>1409.6</v>
      </c>
      <c r="C128" s="4">
        <v>2279816.6</v>
      </c>
      <c r="D128" s="4">
        <v>744177.2</v>
      </c>
      <c r="E128">
        <f t="shared" si="20"/>
        <v>36477.1</v>
      </c>
      <c r="F128">
        <f t="shared" si="21"/>
        <v>18604.400000000001</v>
      </c>
      <c r="G128">
        <f t="shared" si="17"/>
        <v>40.200000000000003</v>
      </c>
      <c r="H128">
        <f t="shared" si="18"/>
        <v>23</v>
      </c>
      <c r="I128" s="4">
        <f t="shared" si="19"/>
        <v>11.065</v>
      </c>
      <c r="J128" s="4">
        <v>125</v>
      </c>
      <c r="K128" s="4">
        <v>80</v>
      </c>
      <c r="L128" s="4">
        <v>7</v>
      </c>
      <c r="M128" s="4">
        <v>62</v>
      </c>
      <c r="N128" s="4">
        <v>84.9</v>
      </c>
      <c r="O128" s="4"/>
      <c r="P128" s="4"/>
    </row>
    <row r="129" spans="1:16" x14ac:dyDescent="0.3">
      <c r="A129" s="6" t="s">
        <v>329</v>
      </c>
      <c r="B129" s="4">
        <v>1598.9</v>
      </c>
      <c r="C129" s="4">
        <v>2567654.5</v>
      </c>
      <c r="D129" s="4">
        <v>834894.4</v>
      </c>
      <c r="E129">
        <f t="shared" si="20"/>
        <v>41082.5</v>
      </c>
      <c r="F129">
        <f t="shared" si="21"/>
        <v>20872.400000000001</v>
      </c>
      <c r="G129">
        <f t="shared" si="17"/>
        <v>40.1</v>
      </c>
      <c r="H129">
        <f t="shared" si="18"/>
        <v>22.9</v>
      </c>
      <c r="I129" s="4">
        <f t="shared" si="19"/>
        <v>12.551</v>
      </c>
      <c r="J129" s="4">
        <v>125</v>
      </c>
      <c r="K129" s="4">
        <v>80</v>
      </c>
      <c r="L129" s="4">
        <v>8</v>
      </c>
      <c r="M129" s="4">
        <v>61.6</v>
      </c>
      <c r="N129" s="4">
        <v>84.4</v>
      </c>
      <c r="O129" s="4"/>
      <c r="P129" s="4"/>
    </row>
    <row r="130" spans="1:16" x14ac:dyDescent="0.3">
      <c r="A130" s="6" t="s">
        <v>330</v>
      </c>
      <c r="B130" s="4">
        <v>1971.2</v>
      </c>
      <c r="C130" s="4">
        <v>3120449.4</v>
      </c>
      <c r="D130" s="4">
        <v>1006701.4</v>
      </c>
      <c r="E130">
        <f t="shared" si="20"/>
        <v>49927.199999999997</v>
      </c>
      <c r="F130">
        <f t="shared" si="21"/>
        <v>25167.5</v>
      </c>
      <c r="G130">
        <f t="shared" si="17"/>
        <v>39.799999999999997</v>
      </c>
      <c r="H130">
        <f t="shared" si="18"/>
        <v>22.6</v>
      </c>
      <c r="I130" s="4">
        <f t="shared" si="19"/>
        <v>15.474</v>
      </c>
      <c r="J130" s="4">
        <v>125</v>
      </c>
      <c r="K130" s="4">
        <v>80</v>
      </c>
      <c r="L130" s="4">
        <v>10</v>
      </c>
      <c r="M130" s="4">
        <v>60.8</v>
      </c>
      <c r="N130" s="4">
        <v>83.6</v>
      </c>
      <c r="O130" s="4"/>
      <c r="P130" s="4"/>
    </row>
    <row r="131" spans="1:16" x14ac:dyDescent="0.3">
      <c r="A131" s="6" t="s">
        <v>331</v>
      </c>
      <c r="B131" s="4">
        <v>2335.1</v>
      </c>
      <c r="C131" s="4">
        <v>3644108.7</v>
      </c>
      <c r="D131" s="4">
        <v>1166680.8999999999</v>
      </c>
      <c r="E131">
        <f t="shared" si="20"/>
        <v>58305.7</v>
      </c>
      <c r="F131">
        <f t="shared" si="21"/>
        <v>29167</v>
      </c>
      <c r="G131">
        <f t="shared" si="17"/>
        <v>39.5</v>
      </c>
      <c r="H131">
        <f t="shared" si="18"/>
        <v>22.4</v>
      </c>
      <c r="I131" s="4">
        <f t="shared" si="19"/>
        <v>18.331</v>
      </c>
      <c r="J131" s="4">
        <v>125</v>
      </c>
      <c r="K131" s="4">
        <v>80</v>
      </c>
      <c r="L131" s="4">
        <v>12</v>
      </c>
      <c r="M131" s="4">
        <v>60</v>
      </c>
      <c r="N131" s="4">
        <v>82.8</v>
      </c>
      <c r="O131" s="4"/>
      <c r="P131" s="4"/>
    </row>
    <row r="132" spans="1:16" x14ac:dyDescent="0.3">
      <c r="A132" s="6" t="s">
        <v>332</v>
      </c>
      <c r="B132" s="4">
        <v>1803.9</v>
      </c>
      <c r="C132" s="4">
        <v>3656363.4</v>
      </c>
      <c r="D132" s="4">
        <v>1206919.8</v>
      </c>
      <c r="E132">
        <f t="shared" si="20"/>
        <v>52233.8</v>
      </c>
      <c r="F132">
        <f t="shared" si="21"/>
        <v>26820.400000000001</v>
      </c>
      <c r="G132">
        <f t="shared" si="17"/>
        <v>45</v>
      </c>
      <c r="H132">
        <f t="shared" si="18"/>
        <v>25.9</v>
      </c>
      <c r="I132" s="4">
        <f t="shared" si="19"/>
        <v>14.161</v>
      </c>
      <c r="J132" s="4">
        <v>140</v>
      </c>
      <c r="K132" s="4">
        <v>90</v>
      </c>
      <c r="L132" s="4">
        <v>8</v>
      </c>
      <c r="M132" s="4">
        <v>69.599999999999994</v>
      </c>
      <c r="N132" s="4">
        <v>95</v>
      </c>
      <c r="O132" s="4"/>
      <c r="P132" s="4"/>
    </row>
    <row r="133" spans="1:16" x14ac:dyDescent="0.3">
      <c r="A133" s="6" t="s">
        <v>333</v>
      </c>
      <c r="B133" s="4">
        <v>2226.1</v>
      </c>
      <c r="C133" s="4">
        <v>4454980.2</v>
      </c>
      <c r="D133" s="4">
        <v>1460314.4</v>
      </c>
      <c r="E133">
        <f t="shared" si="20"/>
        <v>63642.6</v>
      </c>
      <c r="F133">
        <f t="shared" si="21"/>
        <v>32451.4</v>
      </c>
      <c r="G133">
        <f t="shared" si="17"/>
        <v>44.7</v>
      </c>
      <c r="H133">
        <f t="shared" si="18"/>
        <v>25.6</v>
      </c>
      <c r="I133" s="4">
        <f t="shared" si="19"/>
        <v>17.475000000000001</v>
      </c>
      <c r="J133" s="4">
        <v>140</v>
      </c>
      <c r="K133" s="4">
        <v>90</v>
      </c>
      <c r="L133" s="4">
        <v>10</v>
      </c>
      <c r="M133" s="4">
        <v>68.8</v>
      </c>
      <c r="N133" s="4">
        <v>94.2</v>
      </c>
      <c r="O133" s="4"/>
      <c r="P133" s="4"/>
    </row>
    <row r="134" spans="1:16" x14ac:dyDescent="0.3">
      <c r="A134" s="6" t="s">
        <v>334</v>
      </c>
      <c r="B134" s="4">
        <v>2640</v>
      </c>
      <c r="C134" s="4">
        <v>5215920.8</v>
      </c>
      <c r="D134" s="4">
        <v>1697897</v>
      </c>
      <c r="E134">
        <f t="shared" si="20"/>
        <v>74513.2</v>
      </c>
      <c r="F134">
        <f t="shared" si="21"/>
        <v>37731</v>
      </c>
      <c r="G134">
        <f t="shared" si="17"/>
        <v>44.4</v>
      </c>
      <c r="H134">
        <f t="shared" si="18"/>
        <v>25.4</v>
      </c>
      <c r="I134" s="4">
        <f t="shared" si="19"/>
        <v>20.724</v>
      </c>
      <c r="J134" s="4">
        <v>140</v>
      </c>
      <c r="K134" s="4">
        <v>90</v>
      </c>
      <c r="L134" s="4">
        <v>12</v>
      </c>
      <c r="M134" s="4">
        <v>68.099999999999994</v>
      </c>
      <c r="N134" s="4">
        <v>93.4</v>
      </c>
      <c r="O134" s="4"/>
      <c r="P134" s="4"/>
    </row>
    <row r="135" spans="1:16" x14ac:dyDescent="0.3">
      <c r="A135" s="6" t="s">
        <v>335</v>
      </c>
      <c r="B135" s="4">
        <v>3045.6</v>
      </c>
      <c r="C135" s="4">
        <v>5941007.2999999998</v>
      </c>
      <c r="D135" s="4">
        <v>1921013.3</v>
      </c>
      <c r="E135">
        <f t="shared" si="20"/>
        <v>84871.5</v>
      </c>
      <c r="F135">
        <f t="shared" si="21"/>
        <v>42689.2</v>
      </c>
      <c r="G135">
        <f t="shared" si="17"/>
        <v>44.2</v>
      </c>
      <c r="H135">
        <f t="shared" si="18"/>
        <v>25.1</v>
      </c>
      <c r="I135" s="4">
        <f t="shared" si="19"/>
        <v>23.908000000000001</v>
      </c>
      <c r="J135" s="4">
        <v>140</v>
      </c>
      <c r="K135" s="4">
        <v>90</v>
      </c>
      <c r="L135" s="4">
        <v>14</v>
      </c>
      <c r="M135" s="4">
        <v>67.3</v>
      </c>
      <c r="N135" s="4">
        <v>92.6</v>
      </c>
      <c r="O135" s="4"/>
      <c r="P135" s="4"/>
    </row>
    <row r="136" spans="1:16" x14ac:dyDescent="0.3">
      <c r="A136" s="6" t="s">
        <v>336</v>
      </c>
      <c r="B136" s="4">
        <v>2531.5</v>
      </c>
      <c r="C136" s="4">
        <v>6686855.4000000004</v>
      </c>
      <c r="D136" s="4">
        <v>2050323.1</v>
      </c>
      <c r="E136">
        <f t="shared" si="20"/>
        <v>83585.7</v>
      </c>
      <c r="F136">
        <f t="shared" si="21"/>
        <v>41006.5</v>
      </c>
      <c r="G136">
        <f t="shared" si="17"/>
        <v>51.4</v>
      </c>
      <c r="H136">
        <f t="shared" si="18"/>
        <v>28.5</v>
      </c>
      <c r="I136" s="4">
        <f t="shared" si="19"/>
        <v>19.872</v>
      </c>
      <c r="J136" s="4">
        <v>160</v>
      </c>
      <c r="K136" s="4">
        <v>100</v>
      </c>
      <c r="L136" s="4">
        <v>10</v>
      </c>
      <c r="M136" s="4">
        <v>77.2</v>
      </c>
      <c r="N136" s="4">
        <v>107.6</v>
      </c>
      <c r="O136" s="4"/>
      <c r="P136" s="4"/>
    </row>
    <row r="137" spans="1:16" x14ac:dyDescent="0.3">
      <c r="A137" s="6" t="s">
        <v>337</v>
      </c>
      <c r="B137" s="4">
        <v>3005.4</v>
      </c>
      <c r="C137" s="4">
        <v>7849097.5</v>
      </c>
      <c r="D137" s="4">
        <v>2390636.2999999998</v>
      </c>
      <c r="E137">
        <f t="shared" si="20"/>
        <v>98113.7</v>
      </c>
      <c r="F137">
        <f t="shared" si="21"/>
        <v>47812.7</v>
      </c>
      <c r="G137">
        <f t="shared" si="17"/>
        <v>51.1</v>
      </c>
      <c r="H137">
        <f t="shared" si="18"/>
        <v>28.2</v>
      </c>
      <c r="I137" s="4">
        <f t="shared" si="19"/>
        <v>23.591999999999999</v>
      </c>
      <c r="J137" s="4">
        <v>160</v>
      </c>
      <c r="K137" s="4">
        <v>100</v>
      </c>
      <c r="L137" s="4">
        <v>12</v>
      </c>
      <c r="M137" s="4">
        <v>76.8</v>
      </c>
      <c r="N137" s="4">
        <v>106.8</v>
      </c>
      <c r="O137" s="4"/>
      <c r="P137" s="4"/>
    </row>
    <row r="138" spans="1:16" x14ac:dyDescent="0.3">
      <c r="A138" s="6" t="s">
        <v>338</v>
      </c>
      <c r="B138" s="4">
        <v>3470.9</v>
      </c>
      <c r="C138" s="4">
        <v>8962968.5999999996</v>
      </c>
      <c r="D138" s="4">
        <v>2712027.7</v>
      </c>
      <c r="E138">
        <f t="shared" si="20"/>
        <v>112037.1</v>
      </c>
      <c r="F138">
        <f t="shared" si="21"/>
        <v>54240.6</v>
      </c>
      <c r="G138">
        <f t="shared" si="17"/>
        <v>50.8</v>
      </c>
      <c r="H138">
        <f t="shared" si="18"/>
        <v>28</v>
      </c>
      <c r="I138" s="4">
        <f t="shared" si="19"/>
        <v>27.247</v>
      </c>
      <c r="J138" s="4">
        <v>160</v>
      </c>
      <c r="K138" s="4">
        <v>100</v>
      </c>
      <c r="L138" s="4">
        <v>14</v>
      </c>
      <c r="M138" s="4">
        <v>75.7</v>
      </c>
      <c r="N138" s="4">
        <v>106</v>
      </c>
      <c r="O138" s="4"/>
      <c r="P138" s="4"/>
    </row>
    <row r="139" spans="1:16" x14ac:dyDescent="0.3">
      <c r="A139" s="6" t="s">
        <v>339</v>
      </c>
      <c r="B139" s="4">
        <v>3928.1</v>
      </c>
      <c r="C139" s="4">
        <v>10030527</v>
      </c>
      <c r="D139" s="4">
        <v>3015991.7</v>
      </c>
      <c r="E139">
        <f t="shared" si="20"/>
        <v>125381.6</v>
      </c>
      <c r="F139">
        <f t="shared" si="21"/>
        <v>60319.8</v>
      </c>
      <c r="G139">
        <f t="shared" si="17"/>
        <v>50.5</v>
      </c>
      <c r="H139">
        <f t="shared" si="18"/>
        <v>27.7</v>
      </c>
      <c r="I139" s="4">
        <f t="shared" si="19"/>
        <v>30.835999999999999</v>
      </c>
      <c r="J139" s="4">
        <v>160</v>
      </c>
      <c r="K139" s="4">
        <v>100</v>
      </c>
      <c r="L139" s="4">
        <v>16</v>
      </c>
      <c r="M139" s="4">
        <v>74.900000000000006</v>
      </c>
      <c r="N139" s="4">
        <v>105.2</v>
      </c>
      <c r="O139" s="4"/>
      <c r="P139" s="4"/>
    </row>
    <row r="140" spans="1:16" x14ac:dyDescent="0.3">
      <c r="A140" s="6" t="s">
        <v>340</v>
      </c>
      <c r="B140" s="4">
        <v>2837.3</v>
      </c>
      <c r="C140" s="4">
        <v>9562518.8000000007</v>
      </c>
      <c r="D140" s="4">
        <v>2781057.8</v>
      </c>
      <c r="E140">
        <f t="shared" si="20"/>
        <v>106250.2</v>
      </c>
      <c r="F140">
        <f t="shared" si="21"/>
        <v>50564.7</v>
      </c>
      <c r="G140">
        <f t="shared" si="17"/>
        <v>58.1</v>
      </c>
      <c r="H140">
        <f t="shared" si="18"/>
        <v>31.3</v>
      </c>
      <c r="I140" s="4">
        <f t="shared" si="19"/>
        <v>22.273</v>
      </c>
      <c r="J140" s="4">
        <v>180</v>
      </c>
      <c r="K140" s="4">
        <v>110</v>
      </c>
      <c r="L140" s="4">
        <v>10</v>
      </c>
      <c r="M140" s="4">
        <v>85.6</v>
      </c>
      <c r="N140" s="4">
        <v>121.1</v>
      </c>
      <c r="O140" s="4"/>
      <c r="P140" s="4"/>
    </row>
    <row r="141" spans="1:16" x14ac:dyDescent="0.3">
      <c r="A141" s="6" t="s">
        <v>341</v>
      </c>
      <c r="B141" s="4">
        <v>3371.2</v>
      </c>
      <c r="C141" s="4">
        <v>11247184</v>
      </c>
      <c r="D141" s="4">
        <v>3250280.6</v>
      </c>
      <c r="E141">
        <f t="shared" si="20"/>
        <v>124968.7</v>
      </c>
      <c r="F141">
        <f t="shared" si="21"/>
        <v>59096</v>
      </c>
      <c r="G141">
        <f t="shared" si="17"/>
        <v>57.8</v>
      </c>
      <c r="H141">
        <f t="shared" si="18"/>
        <v>31.1</v>
      </c>
      <c r="I141" s="4">
        <f t="shared" si="19"/>
        <v>26.463999999999999</v>
      </c>
      <c r="J141" s="4">
        <v>180</v>
      </c>
      <c r="K141" s="4">
        <v>110</v>
      </c>
      <c r="L141" s="4">
        <v>12</v>
      </c>
      <c r="M141" s="4">
        <v>84.8</v>
      </c>
      <c r="N141" s="4">
        <v>120.2</v>
      </c>
      <c r="O141" s="4"/>
      <c r="P141" s="4"/>
    </row>
    <row r="142" spans="1:16" x14ac:dyDescent="0.3">
      <c r="A142" s="6" t="s">
        <v>342</v>
      </c>
      <c r="B142" s="4">
        <v>3896.7</v>
      </c>
      <c r="C142" s="4">
        <v>12869092</v>
      </c>
      <c r="D142" s="4">
        <v>3695522.1</v>
      </c>
      <c r="E142">
        <f t="shared" si="20"/>
        <v>142989.9</v>
      </c>
      <c r="F142">
        <f t="shared" si="21"/>
        <v>67191.3</v>
      </c>
      <c r="G142">
        <f t="shared" si="17"/>
        <v>57.5</v>
      </c>
      <c r="H142">
        <f t="shared" si="18"/>
        <v>30.8</v>
      </c>
      <c r="I142" s="4">
        <f t="shared" si="19"/>
        <v>30.588999999999999</v>
      </c>
      <c r="J142" s="4">
        <v>180</v>
      </c>
      <c r="K142" s="4">
        <v>110</v>
      </c>
      <c r="L142" s="4">
        <v>14</v>
      </c>
      <c r="M142" s="4">
        <v>84.1</v>
      </c>
      <c r="N142" s="4">
        <v>119.4</v>
      </c>
      <c r="O142" s="4"/>
      <c r="P142" s="4"/>
    </row>
    <row r="143" spans="1:16" x14ac:dyDescent="0.3">
      <c r="A143" s="6" t="s">
        <v>343</v>
      </c>
      <c r="B143" s="4">
        <v>4413.8999999999996</v>
      </c>
      <c r="C143" s="4">
        <v>14430597</v>
      </c>
      <c r="D143" s="4">
        <v>4118471.2</v>
      </c>
      <c r="E143">
        <f t="shared" si="20"/>
        <v>160340</v>
      </c>
      <c r="F143">
        <f t="shared" si="21"/>
        <v>74881.3</v>
      </c>
      <c r="G143">
        <f t="shared" si="17"/>
        <v>57.2</v>
      </c>
      <c r="H143">
        <f t="shared" si="18"/>
        <v>30.5</v>
      </c>
      <c r="I143" s="4">
        <f t="shared" si="19"/>
        <v>34.649000000000001</v>
      </c>
      <c r="J143" s="4">
        <v>180</v>
      </c>
      <c r="K143" s="4">
        <v>110</v>
      </c>
      <c r="L143" s="4">
        <v>16</v>
      </c>
      <c r="M143" s="4">
        <v>83.3</v>
      </c>
      <c r="N143" s="4">
        <v>118.6</v>
      </c>
      <c r="O143" s="4"/>
      <c r="P143" s="4"/>
    </row>
    <row r="144" spans="1:16" x14ac:dyDescent="0.3">
      <c r="A144" s="6" t="s">
        <v>344</v>
      </c>
      <c r="B144" s="4">
        <v>3791.2</v>
      </c>
      <c r="C144" s="4">
        <v>15708995</v>
      </c>
      <c r="D144" s="4">
        <v>4831588.7</v>
      </c>
      <c r="E144">
        <f t="shared" si="20"/>
        <v>157090</v>
      </c>
      <c r="F144">
        <f t="shared" si="21"/>
        <v>77305.399999999994</v>
      </c>
      <c r="G144">
        <f t="shared" si="17"/>
        <v>64.400000000000006</v>
      </c>
      <c r="H144">
        <f t="shared" si="18"/>
        <v>35.700000000000003</v>
      </c>
      <c r="I144" s="4">
        <f t="shared" si="19"/>
        <v>29.760999999999999</v>
      </c>
      <c r="J144" s="4">
        <v>200</v>
      </c>
      <c r="K144" s="4">
        <v>125</v>
      </c>
      <c r="L144" s="4">
        <v>12</v>
      </c>
      <c r="M144" s="4">
        <v>96.7</v>
      </c>
      <c r="N144" s="4">
        <v>134.6</v>
      </c>
      <c r="O144" s="4"/>
      <c r="P144" s="4"/>
    </row>
    <row r="145" spans="1:16" x14ac:dyDescent="0.3">
      <c r="A145" s="6" t="s">
        <v>345</v>
      </c>
      <c r="B145" s="4">
        <v>4386.7</v>
      </c>
      <c r="C145" s="4">
        <v>18009704</v>
      </c>
      <c r="D145" s="4">
        <v>5508269.2000000002</v>
      </c>
      <c r="E145">
        <f t="shared" si="20"/>
        <v>180097</v>
      </c>
      <c r="F145">
        <f t="shared" si="21"/>
        <v>88132.3</v>
      </c>
      <c r="G145">
        <f t="shared" si="17"/>
        <v>64.099999999999994</v>
      </c>
      <c r="H145">
        <f t="shared" si="18"/>
        <v>35.4</v>
      </c>
      <c r="I145" s="4">
        <f t="shared" si="19"/>
        <v>34.436</v>
      </c>
      <c r="J145" s="4">
        <v>200</v>
      </c>
      <c r="K145" s="4">
        <v>125</v>
      </c>
      <c r="L145" s="4">
        <v>14</v>
      </c>
      <c r="M145" s="4">
        <v>95.9</v>
      </c>
      <c r="N145" s="4">
        <v>133.80000000000001</v>
      </c>
      <c r="O145" s="4"/>
      <c r="P145" s="4"/>
    </row>
    <row r="146" spans="1:16" x14ac:dyDescent="0.3">
      <c r="A146" s="6" t="s">
        <v>346</v>
      </c>
      <c r="B146" s="4">
        <v>4973.8999999999996</v>
      </c>
      <c r="C146" s="4">
        <v>20233524</v>
      </c>
      <c r="D146" s="4">
        <v>6154391.7999999998</v>
      </c>
      <c r="E146">
        <f t="shared" si="20"/>
        <v>202335.2</v>
      </c>
      <c r="F146">
        <f t="shared" si="21"/>
        <v>98470.3</v>
      </c>
      <c r="G146">
        <f t="shared" si="17"/>
        <v>63.8</v>
      </c>
      <c r="H146">
        <f t="shared" si="18"/>
        <v>35.200000000000003</v>
      </c>
      <c r="I146" s="4">
        <f t="shared" si="19"/>
        <v>39.045000000000002</v>
      </c>
      <c r="J146" s="4">
        <v>200</v>
      </c>
      <c r="K146" s="4">
        <v>125</v>
      </c>
      <c r="L146" s="4">
        <v>16</v>
      </c>
      <c r="M146" s="4">
        <v>95.1</v>
      </c>
      <c r="N146" s="4">
        <v>133</v>
      </c>
      <c r="O146" s="4"/>
      <c r="P146" s="4"/>
    </row>
    <row r="147" spans="1:16" x14ac:dyDescent="0.3">
      <c r="A147" s="6" t="s">
        <v>347</v>
      </c>
      <c r="B147" s="4">
        <v>5552.6</v>
      </c>
      <c r="C147" s="4">
        <v>22383049</v>
      </c>
      <c r="D147" s="4">
        <v>6771850.7000000002</v>
      </c>
      <c r="E147">
        <f t="shared" si="20"/>
        <v>223830.5</v>
      </c>
      <c r="F147">
        <f t="shared" si="21"/>
        <v>108349.6</v>
      </c>
      <c r="G147">
        <f t="shared" si="17"/>
        <v>63.5</v>
      </c>
      <c r="H147">
        <f t="shared" si="18"/>
        <v>34.9</v>
      </c>
      <c r="I147" s="4">
        <f t="shared" si="19"/>
        <v>43.588000000000001</v>
      </c>
      <c r="J147" s="4">
        <v>200</v>
      </c>
      <c r="K147" s="4">
        <v>125</v>
      </c>
      <c r="L147" s="4">
        <v>18</v>
      </c>
      <c r="M147" s="4">
        <v>94.4</v>
      </c>
      <c r="N147" s="4">
        <v>132.19999999999999</v>
      </c>
      <c r="O147" s="4"/>
      <c r="P147" s="4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C5D32-86E4-4956-AC5C-78E060A2D6D2}">
  <dimension ref="A1:N35"/>
  <sheetViews>
    <sheetView workbookViewId="0">
      <selection activeCell="I26" sqref="I26"/>
    </sheetView>
  </sheetViews>
  <sheetFormatPr defaultRowHeight="14" x14ac:dyDescent="0.3"/>
  <cols>
    <col min="3" max="4" width="12.75" customWidth="1"/>
  </cols>
  <sheetData>
    <row r="1" spans="1:14" x14ac:dyDescent="0.3">
      <c r="A1" s="7" t="s">
        <v>352</v>
      </c>
      <c r="B1" s="5" t="s">
        <v>353</v>
      </c>
      <c r="C1" s="5" t="s">
        <v>113</v>
      </c>
      <c r="D1" s="5" t="s">
        <v>115</v>
      </c>
      <c r="E1" s="5" t="s">
        <v>117</v>
      </c>
      <c r="F1" s="5" t="s">
        <v>123</v>
      </c>
      <c r="G1" s="5" t="s">
        <v>119</v>
      </c>
      <c r="H1" s="5" t="s">
        <v>121</v>
      </c>
      <c r="I1" s="5" t="s">
        <v>125</v>
      </c>
      <c r="J1" s="5" t="s">
        <v>354</v>
      </c>
      <c r="K1" s="5" t="s">
        <v>355</v>
      </c>
      <c r="L1" s="5" t="s">
        <v>109</v>
      </c>
      <c r="M1" s="5" t="s">
        <v>110</v>
      </c>
      <c r="N1" s="5" t="s">
        <v>108</v>
      </c>
    </row>
    <row r="2" spans="1:14" x14ac:dyDescent="0.3">
      <c r="A2" s="8" t="str">
        <f>"2"&amp;'C'!A2</f>
        <v>2C5</v>
      </c>
      <c r="B2" s="8">
        <f>2*'C'!B2</f>
        <v>1385</v>
      </c>
      <c r="C2" s="8">
        <f>2*'C'!C2</f>
        <v>520287.4</v>
      </c>
      <c r="D2" s="8">
        <f>ROUND(2*('C'!D2+'C'!B2*('C'!K2-'C'!N2)^2),1)</f>
        <v>419114.9</v>
      </c>
      <c r="E2">
        <f>ROUND(C2/J2*2,1)</f>
        <v>20811.5</v>
      </c>
      <c r="F2">
        <f>ROUND(D2/K2*2,1)</f>
        <v>22654.9</v>
      </c>
      <c r="G2">
        <f>ROUND((C2/B2)^0.5,1)</f>
        <v>19.399999999999999</v>
      </c>
      <c r="H2">
        <f>ROUND((D2/B2)^0.5,1)</f>
        <v>17.399999999999999</v>
      </c>
      <c r="I2">
        <f>ROUND(0.00785*B2,3)</f>
        <v>10.872</v>
      </c>
      <c r="J2" s="8">
        <f>'C'!J2</f>
        <v>50</v>
      </c>
      <c r="K2" s="8">
        <f>'C'!K2</f>
        <v>37</v>
      </c>
      <c r="L2" s="8">
        <f>'C'!L2</f>
        <v>4.5</v>
      </c>
      <c r="M2" s="8">
        <f>'C'!M2</f>
        <v>7</v>
      </c>
      <c r="N2" s="8">
        <v>0</v>
      </c>
    </row>
    <row r="3" spans="1:14" x14ac:dyDescent="0.3">
      <c r="A3" s="8" t="str">
        <f>"2"&amp;'C'!A3</f>
        <v>2C6.3</v>
      </c>
      <c r="B3" s="8">
        <f>2*'C'!B3</f>
        <v>1689.4</v>
      </c>
      <c r="C3" s="8">
        <f>2*'C'!C3</f>
        <v>1024731.6</v>
      </c>
      <c r="D3" s="8">
        <f>ROUND(2*('C'!D3+'C'!B3*('C'!K3-'C'!N3)^2),1)</f>
        <v>564309.4</v>
      </c>
      <c r="E3">
        <f t="shared" ref="E3:E32" si="0">ROUND(C3/J3*2,1)</f>
        <v>32531.200000000001</v>
      </c>
      <c r="F3">
        <f t="shared" ref="F3:F32" si="1">ROUND(D3/K3*2,1)</f>
        <v>28215.5</v>
      </c>
      <c r="G3">
        <f t="shared" ref="G3:G32" si="2">ROUND((C3/B3)^0.5,1)</f>
        <v>24.6</v>
      </c>
      <c r="H3">
        <f t="shared" ref="H3:H32" si="3">ROUND((D3/B3)^0.5,1)</f>
        <v>18.3</v>
      </c>
      <c r="I3">
        <f t="shared" ref="I3:I32" si="4">ROUND(0.00785*B3,3)</f>
        <v>13.262</v>
      </c>
      <c r="J3" s="8">
        <f>'C'!J3</f>
        <v>63</v>
      </c>
      <c r="K3" s="8">
        <f>'C'!K3</f>
        <v>40</v>
      </c>
      <c r="L3" s="8">
        <f>'C'!L3</f>
        <v>4.8</v>
      </c>
      <c r="M3" s="8">
        <f>'C'!M3</f>
        <v>7.5</v>
      </c>
      <c r="N3" s="8">
        <v>0</v>
      </c>
    </row>
    <row r="4" spans="1:14" x14ac:dyDescent="0.3">
      <c r="A4" s="8" t="str">
        <f>"2"&amp;'C'!A4</f>
        <v>2C8</v>
      </c>
      <c r="B4" s="8">
        <f>2*'C'!B4</f>
        <v>2048.6</v>
      </c>
      <c r="C4" s="8">
        <f>2*'C'!C4</f>
        <v>2025960.2</v>
      </c>
      <c r="D4" s="8">
        <f>ROUND(2*('C'!D4+'C'!B4*('C'!K4-'C'!N4)^2),1)</f>
        <v>745596.5</v>
      </c>
      <c r="E4">
        <f t="shared" si="0"/>
        <v>50649</v>
      </c>
      <c r="F4">
        <f t="shared" si="1"/>
        <v>34678.9</v>
      </c>
      <c r="G4">
        <f t="shared" si="2"/>
        <v>31.4</v>
      </c>
      <c r="H4">
        <f t="shared" si="3"/>
        <v>19.100000000000001</v>
      </c>
      <c r="I4">
        <f t="shared" si="4"/>
        <v>16.082000000000001</v>
      </c>
      <c r="J4" s="8">
        <f>'C'!J4</f>
        <v>80</v>
      </c>
      <c r="K4" s="8">
        <f>'C'!K4</f>
        <v>43</v>
      </c>
      <c r="L4" s="8">
        <f>'C'!L4</f>
        <v>5</v>
      </c>
      <c r="M4" s="8">
        <f>'C'!M4</f>
        <v>8</v>
      </c>
      <c r="N4" s="8">
        <v>0</v>
      </c>
    </row>
    <row r="5" spans="1:14" x14ac:dyDescent="0.3">
      <c r="A5" s="8" t="str">
        <f>"2"&amp;'C'!A5</f>
        <v>2C10</v>
      </c>
      <c r="B5" s="8">
        <f>2*'C'!B5</f>
        <v>2548.6</v>
      </c>
      <c r="C5" s="8">
        <f>2*'C'!C5</f>
        <v>3966096.8</v>
      </c>
      <c r="D5" s="8">
        <f>ROUND(2*('C'!D5+'C'!B5*('C'!K5-'C'!N5)^2),1)</f>
        <v>1100649.8999999999</v>
      </c>
      <c r="E5">
        <f t="shared" si="0"/>
        <v>79321.899999999994</v>
      </c>
      <c r="F5">
        <f t="shared" si="1"/>
        <v>45860.4</v>
      </c>
      <c r="G5">
        <f t="shared" si="2"/>
        <v>39.4</v>
      </c>
      <c r="H5">
        <f t="shared" si="3"/>
        <v>20.8</v>
      </c>
      <c r="I5">
        <f t="shared" si="4"/>
        <v>20.007000000000001</v>
      </c>
      <c r="J5" s="8">
        <f>'C'!J5</f>
        <v>100</v>
      </c>
      <c r="K5" s="8">
        <f>'C'!K5</f>
        <v>48</v>
      </c>
      <c r="L5" s="8">
        <f>'C'!L5</f>
        <v>5.3</v>
      </c>
      <c r="M5" s="8">
        <f>'C'!M5</f>
        <v>8.5</v>
      </c>
      <c r="N5" s="8">
        <v>0</v>
      </c>
    </row>
    <row r="6" spans="1:14" x14ac:dyDescent="0.3">
      <c r="A6" s="8" t="str">
        <f>"2"&amp;'C'!A6</f>
        <v>2C12</v>
      </c>
      <c r="B6" s="8">
        <f>2*'C'!B6</f>
        <v>3071.2</v>
      </c>
      <c r="C6" s="8">
        <f>2*'C'!C6</f>
        <v>6925704.7999999998</v>
      </c>
      <c r="D6" s="8">
        <f>ROUND(2*('C'!D6+'C'!B6*('C'!K6-'C'!N6)^2),1)</f>
        <v>1554403.7</v>
      </c>
      <c r="E6">
        <f t="shared" si="0"/>
        <v>115428.4</v>
      </c>
      <c r="F6">
        <f t="shared" si="1"/>
        <v>58656.7</v>
      </c>
      <c r="G6">
        <f t="shared" si="2"/>
        <v>47.5</v>
      </c>
      <c r="H6">
        <f t="shared" si="3"/>
        <v>22.5</v>
      </c>
      <c r="I6">
        <f t="shared" si="4"/>
        <v>24.109000000000002</v>
      </c>
      <c r="J6" s="8">
        <f>'C'!J6</f>
        <v>120</v>
      </c>
      <c r="K6" s="8">
        <f>'C'!K6</f>
        <v>53</v>
      </c>
      <c r="L6" s="8">
        <f>'C'!L6</f>
        <v>5.5</v>
      </c>
      <c r="M6" s="8">
        <f>'C'!M6</f>
        <v>9</v>
      </c>
      <c r="N6" s="8">
        <v>0</v>
      </c>
    </row>
    <row r="7" spans="1:14" x14ac:dyDescent="0.3">
      <c r="A7" s="8" t="str">
        <f>"2"&amp;'C'!A7</f>
        <v>2C12.6</v>
      </c>
      <c r="B7" s="8">
        <f>2*'C'!B7</f>
        <v>3137.2</v>
      </c>
      <c r="C7" s="8">
        <f>2*'C'!C7</f>
        <v>7770523.2000000002</v>
      </c>
      <c r="D7" s="8">
        <f>ROUND(2*('C'!D7+'C'!B7*('C'!K7-'C'!N7)^2),1)</f>
        <v>1553372.1</v>
      </c>
      <c r="E7">
        <f t="shared" si="0"/>
        <v>123341.6</v>
      </c>
      <c r="F7">
        <f t="shared" si="1"/>
        <v>58617.8</v>
      </c>
      <c r="G7">
        <f t="shared" si="2"/>
        <v>49.8</v>
      </c>
      <c r="H7">
        <f t="shared" si="3"/>
        <v>22.3</v>
      </c>
      <c r="I7">
        <f t="shared" si="4"/>
        <v>24.626999999999999</v>
      </c>
      <c r="J7" s="8">
        <f>'C'!J7</f>
        <v>126</v>
      </c>
      <c r="K7" s="8">
        <f>'C'!K7</f>
        <v>53</v>
      </c>
      <c r="L7" s="8">
        <f>'C'!L7</f>
        <v>5.5</v>
      </c>
      <c r="M7" s="8">
        <f>'C'!M7</f>
        <v>9</v>
      </c>
      <c r="N7" s="8">
        <v>0</v>
      </c>
    </row>
    <row r="8" spans="1:14" x14ac:dyDescent="0.3">
      <c r="A8" s="8" t="str">
        <f>"2"&amp;'C'!A8</f>
        <v>2C14a</v>
      </c>
      <c r="B8" s="8">
        <f>2*'C'!B8</f>
        <v>3701.8</v>
      </c>
      <c r="C8" s="8">
        <f>2*'C'!C8</f>
        <v>11274219.199999999</v>
      </c>
      <c r="D8" s="8">
        <f>ROUND(2*('C'!D8+'C'!B8*('C'!K8-'C'!N8)^2),1)</f>
        <v>2146687.5</v>
      </c>
      <c r="E8">
        <f t="shared" si="0"/>
        <v>161060.29999999999</v>
      </c>
      <c r="F8">
        <f t="shared" si="1"/>
        <v>74023.7</v>
      </c>
      <c r="G8">
        <f t="shared" si="2"/>
        <v>55.2</v>
      </c>
      <c r="H8">
        <f t="shared" si="3"/>
        <v>24.1</v>
      </c>
      <c r="I8">
        <f t="shared" si="4"/>
        <v>29.059000000000001</v>
      </c>
      <c r="J8" s="8">
        <f>'C'!J8</f>
        <v>140</v>
      </c>
      <c r="K8" s="8">
        <f>'C'!K8</f>
        <v>58</v>
      </c>
      <c r="L8" s="8">
        <f>'C'!L8</f>
        <v>6</v>
      </c>
      <c r="M8" s="8">
        <f>'C'!M8</f>
        <v>9.5</v>
      </c>
      <c r="N8" s="8">
        <v>0</v>
      </c>
    </row>
    <row r="9" spans="1:14" x14ac:dyDescent="0.3">
      <c r="A9" s="8" t="str">
        <f>"2"&amp;'C'!A9</f>
        <v>2C14b</v>
      </c>
      <c r="B9" s="8">
        <f>2*'C'!B9</f>
        <v>4261.8</v>
      </c>
      <c r="C9" s="8">
        <f>2*'C'!C9</f>
        <v>12188885.800000001</v>
      </c>
      <c r="D9" s="8">
        <f>ROUND(2*('C'!D9+'C'!B9*('C'!K9-'C'!N9)^2),1)</f>
        <v>2411850</v>
      </c>
      <c r="E9">
        <f t="shared" si="0"/>
        <v>174126.9</v>
      </c>
      <c r="F9">
        <f t="shared" si="1"/>
        <v>80395</v>
      </c>
      <c r="G9">
        <f t="shared" si="2"/>
        <v>53.5</v>
      </c>
      <c r="H9">
        <f t="shared" si="3"/>
        <v>23.8</v>
      </c>
      <c r="I9">
        <f t="shared" si="4"/>
        <v>33.454999999999998</v>
      </c>
      <c r="J9" s="8">
        <f>'C'!J9</f>
        <v>140</v>
      </c>
      <c r="K9" s="8">
        <f>'C'!K9</f>
        <v>60</v>
      </c>
      <c r="L9" s="8">
        <f>'C'!L9</f>
        <v>8</v>
      </c>
      <c r="M9" s="8">
        <f>'C'!M9</f>
        <v>9.5</v>
      </c>
      <c r="N9" s="8">
        <v>0</v>
      </c>
    </row>
    <row r="10" spans="1:14" x14ac:dyDescent="0.3">
      <c r="A10" s="8" t="str">
        <f>"2"&amp;'C'!A10</f>
        <v>2C16a</v>
      </c>
      <c r="B10" s="8">
        <f>2*'C'!B10</f>
        <v>4390.8</v>
      </c>
      <c r="C10" s="8">
        <f>2*'C'!C10</f>
        <v>17324389.199999999</v>
      </c>
      <c r="D10" s="8">
        <f>ROUND(2*('C'!D10+'C'!B10*('C'!K10-'C'!N10)^2),1)</f>
        <v>2874075</v>
      </c>
      <c r="E10">
        <f t="shared" si="0"/>
        <v>216554.9</v>
      </c>
      <c r="F10">
        <f t="shared" si="1"/>
        <v>91240.5</v>
      </c>
      <c r="G10">
        <f t="shared" si="2"/>
        <v>62.8</v>
      </c>
      <c r="H10">
        <f t="shared" si="3"/>
        <v>25.6</v>
      </c>
      <c r="I10">
        <f t="shared" si="4"/>
        <v>34.468000000000004</v>
      </c>
      <c r="J10" s="8">
        <f>'C'!J10</f>
        <v>160</v>
      </c>
      <c r="K10" s="8">
        <f>'C'!K10</f>
        <v>63</v>
      </c>
      <c r="L10" s="8">
        <f>'C'!L10</f>
        <v>6.5</v>
      </c>
      <c r="M10" s="8">
        <f>'C'!M10</f>
        <v>10</v>
      </c>
      <c r="N10" s="8">
        <v>0</v>
      </c>
    </row>
    <row r="11" spans="1:14" x14ac:dyDescent="0.3">
      <c r="A11" s="8" t="str">
        <f>"2"&amp;'C'!A11</f>
        <v>2C16</v>
      </c>
      <c r="B11" s="8">
        <f>2*'C'!B11</f>
        <v>5030.8</v>
      </c>
      <c r="C11" s="8">
        <f>2*'C'!C11</f>
        <v>18689722.600000001</v>
      </c>
      <c r="D11" s="8">
        <f>ROUND(2*('C'!D11+'C'!B11*('C'!K11-'C'!N11)^2),1)</f>
        <v>3208663.9</v>
      </c>
      <c r="E11">
        <f t="shared" si="0"/>
        <v>233621.5</v>
      </c>
      <c r="F11">
        <f t="shared" si="1"/>
        <v>98728.1</v>
      </c>
      <c r="G11">
        <f t="shared" si="2"/>
        <v>61</v>
      </c>
      <c r="H11">
        <f t="shared" si="3"/>
        <v>25.3</v>
      </c>
      <c r="I11">
        <f t="shared" si="4"/>
        <v>39.491999999999997</v>
      </c>
      <c r="J11" s="8">
        <f>'C'!J11</f>
        <v>160</v>
      </c>
      <c r="K11" s="8">
        <f>'C'!K11</f>
        <v>65</v>
      </c>
      <c r="L11" s="8">
        <f>'C'!L11</f>
        <v>8.5</v>
      </c>
      <c r="M11" s="8">
        <f>'C'!M11</f>
        <v>10</v>
      </c>
      <c r="N11" s="8">
        <v>0</v>
      </c>
    </row>
    <row r="12" spans="1:14" x14ac:dyDescent="0.3">
      <c r="A12" s="8" t="str">
        <f>"2"&amp;'C'!A12</f>
        <v>2C18a</v>
      </c>
      <c r="B12" s="8">
        <f>2*'C'!B12</f>
        <v>5138</v>
      </c>
      <c r="C12" s="8">
        <f>2*'C'!C12</f>
        <v>25454572</v>
      </c>
      <c r="D12" s="8">
        <f>ROUND(2*('C'!D12+'C'!B12*('C'!K12-'C'!N12)^2),1)</f>
        <v>3787487.1</v>
      </c>
      <c r="E12">
        <f t="shared" si="0"/>
        <v>282828.59999999998</v>
      </c>
      <c r="F12">
        <f t="shared" si="1"/>
        <v>111396.7</v>
      </c>
      <c r="G12">
        <f t="shared" si="2"/>
        <v>70.400000000000006</v>
      </c>
      <c r="H12">
        <f t="shared" si="3"/>
        <v>27.2</v>
      </c>
      <c r="I12">
        <f t="shared" si="4"/>
        <v>40.332999999999998</v>
      </c>
      <c r="J12" s="8">
        <f>'C'!J12</f>
        <v>180</v>
      </c>
      <c r="K12" s="8">
        <f>'C'!K12</f>
        <v>68</v>
      </c>
      <c r="L12" s="8">
        <f>'C'!L12</f>
        <v>7</v>
      </c>
      <c r="M12" s="8">
        <f>'C'!M12</f>
        <v>10.5</v>
      </c>
      <c r="N12" s="8">
        <v>0</v>
      </c>
    </row>
    <row r="13" spans="1:14" x14ac:dyDescent="0.3">
      <c r="A13" s="8" t="str">
        <f>"2"&amp;'C'!A13</f>
        <v>2C18</v>
      </c>
      <c r="B13" s="8">
        <f>2*'C'!B13</f>
        <v>5858</v>
      </c>
      <c r="C13" s="8">
        <f>2*'C'!C13</f>
        <v>27398572</v>
      </c>
      <c r="D13" s="8">
        <f>ROUND(2*('C'!D13+'C'!B13*('C'!K13-'C'!N13)^2),1)</f>
        <v>4203400.5</v>
      </c>
      <c r="E13">
        <f t="shared" si="0"/>
        <v>304428.59999999998</v>
      </c>
      <c r="F13">
        <f t="shared" si="1"/>
        <v>120097.2</v>
      </c>
      <c r="G13">
        <f t="shared" si="2"/>
        <v>68.400000000000006</v>
      </c>
      <c r="H13">
        <f t="shared" si="3"/>
        <v>26.8</v>
      </c>
      <c r="I13">
        <f t="shared" si="4"/>
        <v>45.984999999999999</v>
      </c>
      <c r="J13" s="8">
        <f>'C'!J13</f>
        <v>180</v>
      </c>
      <c r="K13" s="8">
        <f>'C'!K13</f>
        <v>70</v>
      </c>
      <c r="L13" s="8">
        <f>'C'!L13</f>
        <v>9</v>
      </c>
      <c r="M13" s="8">
        <f>'C'!M13</f>
        <v>10.5</v>
      </c>
      <c r="N13" s="8">
        <v>0</v>
      </c>
    </row>
    <row r="14" spans="1:14" x14ac:dyDescent="0.3">
      <c r="A14" s="8" t="str">
        <f>"2"&amp;'C'!A14</f>
        <v>2C20a</v>
      </c>
      <c r="B14" s="8">
        <f>2*'C'!B14</f>
        <v>5765.6</v>
      </c>
      <c r="C14" s="8">
        <f>2*'C'!C14</f>
        <v>35607492</v>
      </c>
      <c r="D14" s="8">
        <f>ROUND(2*('C'!D14+'C'!B14*('C'!K14-'C'!N14)^2),1)</f>
        <v>4890115.9000000004</v>
      </c>
      <c r="E14">
        <f t="shared" si="0"/>
        <v>356074.9</v>
      </c>
      <c r="F14">
        <f t="shared" si="1"/>
        <v>133975.79999999999</v>
      </c>
      <c r="G14">
        <f t="shared" si="2"/>
        <v>78.599999999999994</v>
      </c>
      <c r="H14">
        <f t="shared" si="3"/>
        <v>29.1</v>
      </c>
      <c r="I14">
        <f t="shared" si="4"/>
        <v>45.26</v>
      </c>
      <c r="J14" s="8">
        <f>'C'!J14</f>
        <v>200</v>
      </c>
      <c r="K14" s="8">
        <f>'C'!K14</f>
        <v>73</v>
      </c>
      <c r="L14" s="8">
        <f>'C'!L14</f>
        <v>7</v>
      </c>
      <c r="M14" s="8">
        <f>'C'!M14</f>
        <v>11</v>
      </c>
      <c r="N14" s="8">
        <v>0</v>
      </c>
    </row>
    <row r="15" spans="1:14" x14ac:dyDescent="0.3">
      <c r="A15" s="8" t="str">
        <f>"2"&amp;'C'!A15</f>
        <v>2C20</v>
      </c>
      <c r="B15" s="8">
        <f>2*'C'!B15</f>
        <v>6565.6</v>
      </c>
      <c r="C15" s="8">
        <f>2*'C'!C15</f>
        <v>38274158</v>
      </c>
      <c r="D15" s="8">
        <f>ROUND(2*('C'!D15+'C'!B15*('C'!K15-'C'!N15)^2),1)</f>
        <v>5369174.4000000004</v>
      </c>
      <c r="E15">
        <f t="shared" si="0"/>
        <v>382741.6</v>
      </c>
      <c r="F15">
        <f t="shared" si="1"/>
        <v>143178</v>
      </c>
      <c r="G15">
        <f t="shared" si="2"/>
        <v>76.400000000000006</v>
      </c>
      <c r="H15">
        <f t="shared" si="3"/>
        <v>28.6</v>
      </c>
      <c r="I15">
        <f t="shared" si="4"/>
        <v>51.54</v>
      </c>
      <c r="J15" s="8">
        <f>'C'!J15</f>
        <v>200</v>
      </c>
      <c r="K15" s="8">
        <f>'C'!K15</f>
        <v>75</v>
      </c>
      <c r="L15" s="8">
        <f>'C'!L15</f>
        <v>9</v>
      </c>
      <c r="M15" s="8">
        <f>'C'!M15</f>
        <v>11</v>
      </c>
      <c r="N15" s="8">
        <v>0</v>
      </c>
    </row>
    <row r="16" spans="1:14" x14ac:dyDescent="0.3">
      <c r="A16" s="8" t="str">
        <f>"2"&amp;'C'!A16</f>
        <v>2C22a</v>
      </c>
      <c r="B16" s="8">
        <f>2*'C'!B16</f>
        <v>6367.2</v>
      </c>
      <c r="C16" s="8">
        <f>2*'C'!C16</f>
        <v>47877302</v>
      </c>
      <c r="D16" s="8">
        <f>ROUND(2*('C'!D16+'C'!B16*('C'!K16-'C'!N16)^2),1)</f>
        <v>5963604</v>
      </c>
      <c r="E16">
        <f t="shared" si="0"/>
        <v>435248.2</v>
      </c>
      <c r="F16">
        <f t="shared" si="1"/>
        <v>154898.79999999999</v>
      </c>
      <c r="G16">
        <f t="shared" si="2"/>
        <v>86.7</v>
      </c>
      <c r="H16">
        <f t="shared" si="3"/>
        <v>30.6</v>
      </c>
      <c r="I16">
        <f t="shared" si="4"/>
        <v>49.982999999999997</v>
      </c>
      <c r="J16" s="8">
        <f>'C'!J16</f>
        <v>220</v>
      </c>
      <c r="K16" s="8">
        <f>'C'!K16</f>
        <v>77</v>
      </c>
      <c r="L16" s="8">
        <f>'C'!L16</f>
        <v>7</v>
      </c>
      <c r="M16" s="8">
        <f>'C'!M16</f>
        <v>11.5</v>
      </c>
      <c r="N16" s="8">
        <v>0</v>
      </c>
    </row>
    <row r="17" spans="1:14" x14ac:dyDescent="0.3">
      <c r="A17" s="8" t="str">
        <f>"2"&amp;'C'!A17</f>
        <v>2C22</v>
      </c>
      <c r="B17" s="8">
        <f>2*'C'!B17</f>
        <v>7247.2</v>
      </c>
      <c r="C17" s="8">
        <f>2*'C'!C17</f>
        <v>51426636</v>
      </c>
      <c r="D17" s="8">
        <f>ROUND(2*('C'!D17+'C'!B17*('C'!K17-'C'!N17)^2),1)</f>
        <v>6516701.2000000002</v>
      </c>
      <c r="E17">
        <f t="shared" si="0"/>
        <v>467514.9</v>
      </c>
      <c r="F17">
        <f t="shared" si="1"/>
        <v>164979.79999999999</v>
      </c>
      <c r="G17">
        <f t="shared" si="2"/>
        <v>84.2</v>
      </c>
      <c r="H17">
        <f t="shared" si="3"/>
        <v>30</v>
      </c>
      <c r="I17">
        <f t="shared" si="4"/>
        <v>56.890999999999998</v>
      </c>
      <c r="J17" s="8">
        <f>'C'!J17</f>
        <v>220</v>
      </c>
      <c r="K17" s="8">
        <f>'C'!K17</f>
        <v>79</v>
      </c>
      <c r="L17" s="8">
        <f>'C'!L17</f>
        <v>9</v>
      </c>
      <c r="M17" s="8">
        <f>'C'!M17</f>
        <v>11.5</v>
      </c>
      <c r="N17" s="8">
        <v>0</v>
      </c>
    </row>
    <row r="18" spans="1:14" x14ac:dyDescent="0.3">
      <c r="A18" s="8" t="str">
        <f>"2"&amp;'C'!A18</f>
        <v>2C25a</v>
      </c>
      <c r="B18" s="8">
        <f>2*'C'!B18</f>
        <v>6981.2</v>
      </c>
      <c r="C18" s="8">
        <f>2*'C'!C18</f>
        <v>67182276</v>
      </c>
      <c r="D18" s="8">
        <f>ROUND(2*('C'!D18+'C'!B18*('C'!K18-'C'!N18)^2),1)</f>
        <v>6508256</v>
      </c>
      <c r="E18">
        <f t="shared" si="0"/>
        <v>537458.19999999995</v>
      </c>
      <c r="F18">
        <f t="shared" si="1"/>
        <v>166878.39999999999</v>
      </c>
      <c r="G18">
        <f t="shared" si="2"/>
        <v>98.1</v>
      </c>
      <c r="H18">
        <f t="shared" si="3"/>
        <v>30.5</v>
      </c>
      <c r="I18">
        <f t="shared" si="4"/>
        <v>54.802</v>
      </c>
      <c r="J18" s="8">
        <f>'C'!J18</f>
        <v>250</v>
      </c>
      <c r="K18" s="8">
        <f>'C'!K18</f>
        <v>78</v>
      </c>
      <c r="L18" s="8">
        <f>'C'!L18</f>
        <v>7</v>
      </c>
      <c r="M18" s="8">
        <f>'C'!M18</f>
        <v>12</v>
      </c>
      <c r="N18" s="8">
        <v>0</v>
      </c>
    </row>
    <row r="19" spans="1:14" x14ac:dyDescent="0.3">
      <c r="A19" s="8" t="str">
        <f>"2"&amp;'C'!A19</f>
        <v>2C25b</v>
      </c>
      <c r="B19" s="8">
        <f>2*'C'!B19</f>
        <v>7981.2</v>
      </c>
      <c r="C19" s="8">
        <f>2*'C'!C19</f>
        <v>72390610</v>
      </c>
      <c r="D19" s="8">
        <f>ROUND(2*('C'!D19+'C'!B19*('C'!K19-'C'!N19)^2),1)</f>
        <v>7088058.2000000002</v>
      </c>
      <c r="E19">
        <f t="shared" si="0"/>
        <v>579124.9</v>
      </c>
      <c r="F19">
        <f t="shared" si="1"/>
        <v>177201.5</v>
      </c>
      <c r="G19">
        <f t="shared" si="2"/>
        <v>95.2</v>
      </c>
      <c r="H19">
        <f t="shared" si="3"/>
        <v>29.8</v>
      </c>
      <c r="I19">
        <f t="shared" si="4"/>
        <v>62.652000000000001</v>
      </c>
      <c r="J19" s="8">
        <f>'C'!J19</f>
        <v>250</v>
      </c>
      <c r="K19" s="8">
        <f>'C'!K19</f>
        <v>80</v>
      </c>
      <c r="L19" s="8">
        <f>'C'!L19</f>
        <v>9</v>
      </c>
      <c r="M19" s="8">
        <f>'C'!M19</f>
        <v>12</v>
      </c>
      <c r="N19" s="8">
        <v>0</v>
      </c>
    </row>
    <row r="20" spans="1:14" x14ac:dyDescent="0.3">
      <c r="A20" s="8" t="str">
        <f>"2"&amp;'C'!A20</f>
        <v>2C25c</v>
      </c>
      <c r="B20" s="8">
        <f>2*'C'!B20</f>
        <v>8981.2000000000007</v>
      </c>
      <c r="C20" s="8">
        <f>2*'C'!C20</f>
        <v>77598942</v>
      </c>
      <c r="D20" s="8">
        <f>ROUND(2*('C'!D20+'C'!B20*('C'!K20-'C'!N20)^2),1)</f>
        <v>7767721.5999999996</v>
      </c>
      <c r="E20">
        <f t="shared" si="0"/>
        <v>620791.5</v>
      </c>
      <c r="F20">
        <f t="shared" si="1"/>
        <v>189456.6</v>
      </c>
      <c r="G20">
        <f t="shared" si="2"/>
        <v>93</v>
      </c>
      <c r="H20">
        <f t="shared" si="3"/>
        <v>29.4</v>
      </c>
      <c r="I20">
        <f t="shared" si="4"/>
        <v>70.501999999999995</v>
      </c>
      <c r="J20" s="8">
        <f>'C'!J20</f>
        <v>250</v>
      </c>
      <c r="K20" s="8">
        <f>'C'!K20</f>
        <v>82</v>
      </c>
      <c r="L20" s="8">
        <f>'C'!L20</f>
        <v>11</v>
      </c>
      <c r="M20" s="8">
        <f>'C'!M20</f>
        <v>12</v>
      </c>
      <c r="N20" s="8">
        <v>0</v>
      </c>
    </row>
    <row r="21" spans="1:14" x14ac:dyDescent="0.3">
      <c r="A21" s="8" t="str">
        <f>"2"&amp;'C'!A21</f>
        <v>2C28a</v>
      </c>
      <c r="B21" s="8">
        <f>2*'C'!B21</f>
        <v>8004.8</v>
      </c>
      <c r="C21" s="8">
        <f>2*'C'!C21</f>
        <v>95057780</v>
      </c>
      <c r="D21" s="8">
        <f>ROUND(2*('C'!D21+'C'!B21*('C'!K21-'C'!N21)^2),1)</f>
        <v>7855554.7000000002</v>
      </c>
      <c r="E21">
        <f t="shared" si="0"/>
        <v>678984.1</v>
      </c>
      <c r="F21">
        <f t="shared" si="1"/>
        <v>191598.9</v>
      </c>
      <c r="G21">
        <f t="shared" si="2"/>
        <v>109</v>
      </c>
      <c r="H21">
        <f t="shared" si="3"/>
        <v>31.3</v>
      </c>
      <c r="I21">
        <f t="shared" si="4"/>
        <v>62.838000000000001</v>
      </c>
      <c r="J21" s="8">
        <f>'C'!J21</f>
        <v>280</v>
      </c>
      <c r="K21" s="8">
        <f>'C'!K21</f>
        <v>82</v>
      </c>
      <c r="L21" s="8">
        <f>'C'!L21</f>
        <v>7.5</v>
      </c>
      <c r="M21" s="8">
        <f>'C'!M21</f>
        <v>12.5</v>
      </c>
      <c r="N21" s="8">
        <v>0</v>
      </c>
    </row>
    <row r="22" spans="1:14" x14ac:dyDescent="0.3">
      <c r="A22" s="8" t="str">
        <f>"2"&amp;'C'!A22</f>
        <v>2C28b</v>
      </c>
      <c r="B22" s="8">
        <f>2*'C'!B22</f>
        <v>9124.7999999999993</v>
      </c>
      <c r="C22" s="8">
        <f>2*'C'!C22</f>
        <v>102375114</v>
      </c>
      <c r="D22" s="8">
        <f>ROUND(2*('C'!D22+'C'!B22*('C'!K22-'C'!N22)^2),1)</f>
        <v>8555544.5999999996</v>
      </c>
      <c r="E22">
        <f t="shared" si="0"/>
        <v>731250.8</v>
      </c>
      <c r="F22">
        <f t="shared" si="1"/>
        <v>203703.4</v>
      </c>
      <c r="G22">
        <f t="shared" si="2"/>
        <v>105.9</v>
      </c>
      <c r="H22">
        <f t="shared" si="3"/>
        <v>30.6</v>
      </c>
      <c r="I22">
        <f t="shared" si="4"/>
        <v>71.63</v>
      </c>
      <c r="J22" s="8">
        <f>'C'!J22</f>
        <v>280</v>
      </c>
      <c r="K22" s="8">
        <f>'C'!K22</f>
        <v>84</v>
      </c>
      <c r="L22" s="8">
        <f>'C'!L22</f>
        <v>9.5</v>
      </c>
      <c r="M22" s="8">
        <f>'C'!M22</f>
        <v>12.5</v>
      </c>
      <c r="N22" s="8">
        <v>0</v>
      </c>
    </row>
    <row r="23" spans="1:14" x14ac:dyDescent="0.3">
      <c r="A23" s="8" t="str">
        <f>"2"&amp;'C'!A23</f>
        <v>2C28c</v>
      </c>
      <c r="B23" s="8">
        <f>2*'C'!B23</f>
        <v>10244.799999999999</v>
      </c>
      <c r="C23" s="8">
        <f>2*'C'!C23</f>
        <v>109692446</v>
      </c>
      <c r="D23" s="8">
        <f>ROUND(2*('C'!D23+'C'!B23*('C'!K23-'C'!N23)^2),1)</f>
        <v>9339974.4000000004</v>
      </c>
      <c r="E23">
        <f t="shared" si="0"/>
        <v>783517.5</v>
      </c>
      <c r="F23">
        <f t="shared" si="1"/>
        <v>217208.7</v>
      </c>
      <c r="G23">
        <f t="shared" si="2"/>
        <v>103.5</v>
      </c>
      <c r="H23">
        <f t="shared" si="3"/>
        <v>30.2</v>
      </c>
      <c r="I23">
        <f t="shared" si="4"/>
        <v>80.421999999999997</v>
      </c>
      <c r="J23" s="8">
        <f>'C'!J23</f>
        <v>280</v>
      </c>
      <c r="K23" s="8">
        <f>'C'!K23</f>
        <v>86</v>
      </c>
      <c r="L23" s="8">
        <f>'C'!L23</f>
        <v>11.5</v>
      </c>
      <c r="M23" s="8">
        <f>'C'!M23</f>
        <v>12.5</v>
      </c>
      <c r="N23" s="8">
        <v>0</v>
      </c>
    </row>
    <row r="24" spans="1:14" x14ac:dyDescent="0.3">
      <c r="A24" s="8" t="str">
        <f>"2"&amp;'C'!A24</f>
        <v>2C32a</v>
      </c>
      <c r="B24" s="8">
        <f>2*'C'!B24</f>
        <v>9699.6</v>
      </c>
      <c r="C24" s="8">
        <f>2*'C'!C24</f>
        <v>150212464</v>
      </c>
      <c r="D24" s="8">
        <f>ROUND(2*('C'!D24+'C'!B24*('C'!K24-'C'!N24)^2),1)</f>
        <v>10960845.9</v>
      </c>
      <c r="E24">
        <f t="shared" si="0"/>
        <v>938827.9</v>
      </c>
      <c r="F24">
        <f t="shared" si="1"/>
        <v>249110.1</v>
      </c>
      <c r="G24">
        <f t="shared" si="2"/>
        <v>124.4</v>
      </c>
      <c r="H24">
        <f t="shared" si="3"/>
        <v>33.6</v>
      </c>
      <c r="I24">
        <f t="shared" si="4"/>
        <v>76.141999999999996</v>
      </c>
      <c r="J24" s="8">
        <f>'C'!J24</f>
        <v>320</v>
      </c>
      <c r="K24" s="8">
        <f>'C'!K24</f>
        <v>88</v>
      </c>
      <c r="L24" s="8">
        <f>'C'!L24</f>
        <v>8</v>
      </c>
      <c r="M24" s="8">
        <f>'C'!M24</f>
        <v>14</v>
      </c>
      <c r="N24" s="8">
        <v>0</v>
      </c>
    </row>
    <row r="25" spans="1:14" x14ac:dyDescent="0.3">
      <c r="A25" s="8" t="str">
        <f>"2"&amp;'C'!A25</f>
        <v>2C32b</v>
      </c>
      <c r="B25" s="8">
        <f>2*'C'!B25</f>
        <v>10979.6</v>
      </c>
      <c r="C25" s="8">
        <f>2*'C'!C25</f>
        <v>161135130</v>
      </c>
      <c r="D25" s="8">
        <f>ROUND(2*('C'!D25+'C'!B25*('C'!K25-'C'!N25)^2),1)</f>
        <v>11834779.199999999</v>
      </c>
      <c r="E25">
        <f t="shared" si="0"/>
        <v>1007094.6</v>
      </c>
      <c r="F25">
        <f t="shared" si="1"/>
        <v>262995.09999999998</v>
      </c>
      <c r="G25">
        <f t="shared" si="2"/>
        <v>121.1</v>
      </c>
      <c r="H25">
        <f t="shared" si="3"/>
        <v>32.799999999999997</v>
      </c>
      <c r="I25">
        <f t="shared" si="4"/>
        <v>86.19</v>
      </c>
      <c r="J25" s="8">
        <f>'C'!J25</f>
        <v>320</v>
      </c>
      <c r="K25" s="8">
        <f>'C'!K25</f>
        <v>90</v>
      </c>
      <c r="L25" s="8">
        <f>'C'!L25</f>
        <v>10</v>
      </c>
      <c r="M25" s="8">
        <f>'C'!M25</f>
        <v>14</v>
      </c>
      <c r="N25" s="8">
        <v>0</v>
      </c>
    </row>
    <row r="26" spans="1:14" x14ac:dyDescent="0.3">
      <c r="A26" s="8" t="str">
        <f>"2"&amp;'C'!A26</f>
        <v>2C32c</v>
      </c>
      <c r="B26" s="8">
        <f>2*'C'!B26</f>
        <v>12259.6</v>
      </c>
      <c r="C26" s="8">
        <f>2*'C'!C26</f>
        <v>172057798</v>
      </c>
      <c r="D26" s="8">
        <f>ROUND(2*('C'!D26+'C'!B26*('C'!K26-'C'!N26)^2),1)</f>
        <v>12862630.1</v>
      </c>
      <c r="E26">
        <f t="shared" si="0"/>
        <v>1075361.2</v>
      </c>
      <c r="F26">
        <f t="shared" si="1"/>
        <v>279622.40000000002</v>
      </c>
      <c r="G26">
        <f t="shared" si="2"/>
        <v>118.5</v>
      </c>
      <c r="H26">
        <f t="shared" si="3"/>
        <v>32.4</v>
      </c>
      <c r="I26">
        <f t="shared" si="4"/>
        <v>96.238</v>
      </c>
      <c r="J26" s="8">
        <f>'C'!J26</f>
        <v>320</v>
      </c>
      <c r="K26" s="8">
        <f>'C'!K26</f>
        <v>92</v>
      </c>
      <c r="L26" s="8">
        <f>'C'!L26</f>
        <v>12</v>
      </c>
      <c r="M26" s="8">
        <f>'C'!M26</f>
        <v>14</v>
      </c>
      <c r="N26" s="8">
        <v>0</v>
      </c>
    </row>
    <row r="27" spans="1:14" x14ac:dyDescent="0.3">
      <c r="A27" s="8" t="str">
        <f>"2"&amp;'C'!A27</f>
        <v>2C36a</v>
      </c>
      <c r="B27" s="8">
        <f>2*'C'!B27</f>
        <v>12178.2</v>
      </c>
      <c r="C27" s="8">
        <f>2*'C'!C27</f>
        <v>237481860</v>
      </c>
      <c r="D27" s="8">
        <f>ROUND(2*('C'!D27+'C'!B27*('C'!K27-'C'!N27)^2),1)</f>
        <v>16349754.4</v>
      </c>
      <c r="E27">
        <f t="shared" si="0"/>
        <v>1319343.7</v>
      </c>
      <c r="F27">
        <f t="shared" si="1"/>
        <v>340619.9</v>
      </c>
      <c r="G27">
        <f t="shared" si="2"/>
        <v>139.6</v>
      </c>
      <c r="H27">
        <f t="shared" si="3"/>
        <v>36.6</v>
      </c>
      <c r="I27">
        <f t="shared" si="4"/>
        <v>95.599000000000004</v>
      </c>
      <c r="J27" s="8">
        <f>'C'!J27</f>
        <v>360</v>
      </c>
      <c r="K27" s="8">
        <f>'C'!K27</f>
        <v>96</v>
      </c>
      <c r="L27" s="8">
        <f>'C'!L27</f>
        <v>9</v>
      </c>
      <c r="M27" s="8">
        <f>'C'!M27</f>
        <v>16</v>
      </c>
      <c r="N27" s="8">
        <v>0</v>
      </c>
    </row>
    <row r="28" spans="1:14" x14ac:dyDescent="0.3">
      <c r="A28" s="8" t="str">
        <f>"2"&amp;'C'!A28</f>
        <v>2C36b</v>
      </c>
      <c r="B28" s="8">
        <f>2*'C'!B28</f>
        <v>13618.2</v>
      </c>
      <c r="C28" s="8">
        <f>2*'C'!C28</f>
        <v>253033860</v>
      </c>
      <c r="D28" s="8">
        <f>ROUND(2*('C'!D28+'C'!B28*('C'!K28-'C'!N28)^2),1)</f>
        <v>17581976</v>
      </c>
      <c r="E28">
        <f t="shared" si="0"/>
        <v>1405743.7</v>
      </c>
      <c r="F28">
        <f t="shared" si="1"/>
        <v>358815.8</v>
      </c>
      <c r="G28">
        <f t="shared" si="2"/>
        <v>136.30000000000001</v>
      </c>
      <c r="H28">
        <f t="shared" si="3"/>
        <v>35.9</v>
      </c>
      <c r="I28">
        <f t="shared" si="4"/>
        <v>106.90300000000001</v>
      </c>
      <c r="J28" s="8">
        <f>'C'!J28</f>
        <v>360</v>
      </c>
      <c r="K28" s="8">
        <f>'C'!K28</f>
        <v>98</v>
      </c>
      <c r="L28" s="8">
        <f>'C'!L28</f>
        <v>11</v>
      </c>
      <c r="M28" s="8">
        <f>'C'!M28</f>
        <v>16</v>
      </c>
      <c r="N28" s="8">
        <v>0</v>
      </c>
    </row>
    <row r="29" spans="1:14" x14ac:dyDescent="0.3">
      <c r="A29" s="8" t="str">
        <f>"2"&amp;'C'!A29</f>
        <v>2C36c</v>
      </c>
      <c r="B29" s="8">
        <f>2*'C'!B29</f>
        <v>15058.2</v>
      </c>
      <c r="C29" s="8">
        <f>2*'C'!C29</f>
        <v>68585860</v>
      </c>
      <c r="D29" s="8">
        <f>ROUND(2*('C'!D29+'C'!B29*('C'!K29-'C'!N29)^2),1)</f>
        <v>18975840.800000001</v>
      </c>
      <c r="E29">
        <f t="shared" si="0"/>
        <v>381032.6</v>
      </c>
      <c r="F29">
        <f t="shared" si="1"/>
        <v>379516.8</v>
      </c>
      <c r="G29">
        <f t="shared" si="2"/>
        <v>67.5</v>
      </c>
      <c r="H29">
        <f t="shared" si="3"/>
        <v>35.5</v>
      </c>
      <c r="I29">
        <f t="shared" si="4"/>
        <v>118.20699999999999</v>
      </c>
      <c r="J29" s="8">
        <f>'C'!J29</f>
        <v>360</v>
      </c>
      <c r="K29" s="8">
        <f>'C'!K29</f>
        <v>100</v>
      </c>
      <c r="L29" s="8">
        <f>'C'!L29</f>
        <v>13</v>
      </c>
      <c r="M29" s="8">
        <f>'C'!M29</f>
        <v>16</v>
      </c>
      <c r="N29" s="8">
        <v>0</v>
      </c>
    </row>
    <row r="30" spans="1:14" x14ac:dyDescent="0.3">
      <c r="A30" s="8" t="str">
        <f>"2"&amp;'C'!A30</f>
        <v>2C40a</v>
      </c>
      <c r="B30" s="8">
        <f>2*'C'!B30</f>
        <v>15008.6</v>
      </c>
      <c r="C30" s="8">
        <f>2*'C'!C30</f>
        <v>351553080</v>
      </c>
      <c r="D30" s="8">
        <f>ROUND(2*('C'!D30+'C'!B30*('C'!K30-'C'!N30)^2),1)</f>
        <v>21145310.699999999</v>
      </c>
      <c r="E30">
        <f t="shared" si="0"/>
        <v>1757765.4</v>
      </c>
      <c r="F30">
        <f t="shared" si="1"/>
        <v>422906.2</v>
      </c>
      <c r="G30">
        <f t="shared" si="2"/>
        <v>153</v>
      </c>
      <c r="H30">
        <f t="shared" si="3"/>
        <v>37.5</v>
      </c>
      <c r="I30">
        <f t="shared" si="4"/>
        <v>117.818</v>
      </c>
      <c r="J30" s="8">
        <f>'C'!J30</f>
        <v>400</v>
      </c>
      <c r="K30" s="8">
        <f>'C'!K30</f>
        <v>100</v>
      </c>
      <c r="L30" s="8">
        <f>'C'!L30</f>
        <v>10.5</v>
      </c>
      <c r="M30" s="8">
        <f>'C'!M30</f>
        <v>18</v>
      </c>
      <c r="N30" s="8">
        <v>0</v>
      </c>
    </row>
    <row r="31" spans="1:14" x14ac:dyDescent="0.3">
      <c r="A31" s="8" t="str">
        <f>"2"&amp;'C'!A31</f>
        <v>2C40b</v>
      </c>
      <c r="B31" s="8">
        <f>2*'C'!B31</f>
        <v>16608.599999999999</v>
      </c>
      <c r="C31" s="8">
        <f>2*'C'!C31</f>
        <v>372886420</v>
      </c>
      <c r="D31" s="8">
        <f>ROUND(2*('C'!D31+'C'!B31*('C'!K31-'C'!N31)^2),1)</f>
        <v>45552867.899999999</v>
      </c>
      <c r="E31">
        <f t="shared" si="0"/>
        <v>1864432.1</v>
      </c>
      <c r="F31">
        <f t="shared" si="1"/>
        <v>746768.3</v>
      </c>
      <c r="G31">
        <f t="shared" si="2"/>
        <v>149.80000000000001</v>
      </c>
      <c r="H31">
        <f t="shared" si="3"/>
        <v>52.4</v>
      </c>
      <c r="I31">
        <f t="shared" si="4"/>
        <v>130.37799999999999</v>
      </c>
      <c r="J31" s="8">
        <f>'C'!J31</f>
        <v>400</v>
      </c>
      <c r="K31" s="8">
        <f>'C'!K31</f>
        <v>122</v>
      </c>
      <c r="L31" s="8">
        <f>'C'!L31</f>
        <v>12.5</v>
      </c>
      <c r="M31" s="8">
        <f>'C'!M31</f>
        <v>18</v>
      </c>
      <c r="N31" s="8">
        <v>0</v>
      </c>
    </row>
    <row r="32" spans="1:14" x14ac:dyDescent="0.3">
      <c r="A32" s="8" t="str">
        <f>"2"&amp;'C'!A32</f>
        <v>2C40c</v>
      </c>
      <c r="B32" s="8">
        <f>2*'C'!B32</f>
        <v>18208.599999999999</v>
      </c>
      <c r="C32" s="8">
        <f>2*'C'!C32</f>
        <v>394219760</v>
      </c>
      <c r="D32" s="8">
        <f>ROUND(2*('C'!D32+'C'!B32*('C'!K32-'C'!N32)^2),1)</f>
        <v>24418435.5</v>
      </c>
      <c r="E32">
        <f t="shared" si="0"/>
        <v>1971098.8</v>
      </c>
      <c r="F32">
        <f t="shared" si="1"/>
        <v>469585.3</v>
      </c>
      <c r="G32">
        <f t="shared" si="2"/>
        <v>147.1</v>
      </c>
      <c r="H32">
        <f t="shared" si="3"/>
        <v>36.6</v>
      </c>
      <c r="I32">
        <f t="shared" si="4"/>
        <v>142.93799999999999</v>
      </c>
      <c r="J32" s="8">
        <f>'C'!J32</f>
        <v>400</v>
      </c>
      <c r="K32" s="8">
        <f>'C'!K32</f>
        <v>104</v>
      </c>
      <c r="L32" s="8">
        <f>'C'!L32</f>
        <v>14.5</v>
      </c>
      <c r="M32" s="8">
        <f>'C'!M32</f>
        <v>18</v>
      </c>
      <c r="N32" s="8">
        <v>0</v>
      </c>
    </row>
    <row r="33" spans="1:14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1BBFB-DA9F-40CC-BF55-87665B4B3F13}">
  <dimension ref="A1:H11"/>
  <sheetViews>
    <sheetView tabSelected="1" workbookViewId="0">
      <selection activeCell="C15" sqref="C15"/>
    </sheetView>
  </sheetViews>
  <sheetFormatPr defaultRowHeight="14" x14ac:dyDescent="0.3"/>
  <cols>
    <col min="2" max="2" width="8.9140625" customWidth="1"/>
    <col min="3" max="3" width="12.75" customWidth="1"/>
    <col min="6" max="6" width="9.08203125" bestFit="1" customWidth="1"/>
    <col min="9" max="9" width="12.75" bestFit="1" customWidth="1"/>
  </cols>
  <sheetData>
    <row r="1" spans="1:8" x14ac:dyDescent="0.3">
      <c r="A1" s="2" t="s">
        <v>96</v>
      </c>
      <c r="B1" s="3" t="s">
        <v>97</v>
      </c>
      <c r="C1" s="3" t="s">
        <v>98</v>
      </c>
      <c r="D1" s="3" t="s">
        <v>99</v>
      </c>
      <c r="E1" s="3" t="s">
        <v>100</v>
      </c>
      <c r="F1" s="3" t="s">
        <v>126</v>
      </c>
      <c r="G1" s="3" t="s">
        <v>101</v>
      </c>
      <c r="H1" s="3" t="s">
        <v>102</v>
      </c>
    </row>
    <row r="2" spans="1:8" x14ac:dyDescent="0.3">
      <c r="A2" t="s">
        <v>4</v>
      </c>
      <c r="B2">
        <f>ROUND(((PI()*(G2^2-(G2-2*H2)^2))/4),1)</f>
        <v>6993.2</v>
      </c>
      <c r="C2">
        <f>ROUND((PI()*(G2^4-(G2-2*H2)^4))/64,1)</f>
        <v>120350095.7</v>
      </c>
      <c r="D2">
        <f>ROUND((PI()*(G2^3-(G2-2*H2)^4/G2))/32,1)</f>
        <v>638462</v>
      </c>
      <c r="E2">
        <f>ROUND((C2/B2)^0.5,1)</f>
        <v>131.19999999999999</v>
      </c>
      <c r="F2">
        <f>ROUND(((PI()*(G2^2-(G2-2*H2)^2))/4*0.00785),3)</f>
        <v>54.896999999999998</v>
      </c>
      <c r="G2">
        <v>377</v>
      </c>
      <c r="H2">
        <v>6</v>
      </c>
    </row>
    <row r="3" spans="1:8" x14ac:dyDescent="0.3">
      <c r="A3" t="s">
        <v>5</v>
      </c>
      <c r="B3">
        <f t="shared" ref="B3:B11" si="0">ROUND(((PI()*(G3^2-(G3-2*H3)^2))/4),1)</f>
        <v>7916.8</v>
      </c>
      <c r="C3">
        <f t="shared" ref="C3:C11" si="1">ROUND((PI()*(G3^4-(G3-2*H3)^4))/64,1)</f>
        <v>174601363.09999999</v>
      </c>
      <c r="D3">
        <f t="shared" ref="D3:D11" si="2">ROUND((PI()*(G3^3-(G3-2*H3)^4/G3))/32,1)</f>
        <v>819724.7</v>
      </c>
      <c r="E3">
        <f t="shared" ref="E3:E11" si="3">ROUND((C3/B3)^0.5,1)</f>
        <v>148.5</v>
      </c>
      <c r="F3">
        <f t="shared" ref="F3:F11" si="4">ROUND(((PI()*(G3^2-(G3-2*H3)^2))/4*0.00785),3)</f>
        <v>62.146999999999998</v>
      </c>
      <c r="G3">
        <v>426</v>
      </c>
      <c r="H3">
        <v>6</v>
      </c>
    </row>
    <row r="4" spans="1:8" x14ac:dyDescent="0.3">
      <c r="A4" t="s">
        <v>6</v>
      </c>
      <c r="B4">
        <f t="shared" ref="B4" si="5">ROUND(((PI()*(G4^2-(G4-2*H4)^2))/4),1)</f>
        <v>14878.6</v>
      </c>
      <c r="C4">
        <f t="shared" ref="C4" si="6">ROUND((PI()*(G4^4-(G4-2*H4)^4))/64,1)</f>
        <v>651919984.29999995</v>
      </c>
      <c r="D4">
        <f t="shared" ref="D4" si="7">ROUND((PI()*(G4^3-(G4-2*H4)^4/G4))/32,1)</f>
        <v>2173066.6</v>
      </c>
      <c r="E4">
        <f t="shared" ref="E4" si="8">ROUND((C4/B4)^0.5,1)</f>
        <v>209.3</v>
      </c>
      <c r="F4">
        <f t="shared" ref="F4" si="9">ROUND(((PI()*(G4^2-(G4-2*H4)^2))/4*0.00785),3)</f>
        <v>116.797</v>
      </c>
      <c r="G4">
        <v>600</v>
      </c>
      <c r="H4">
        <v>8</v>
      </c>
    </row>
    <row r="5" spans="1:8" x14ac:dyDescent="0.3">
      <c r="A5" t="s">
        <v>527</v>
      </c>
      <c r="B5">
        <f t="shared" si="0"/>
        <v>11762.1</v>
      </c>
      <c r="C5">
        <f t="shared" si="1"/>
        <v>572538975.10000002</v>
      </c>
      <c r="D5">
        <f t="shared" si="2"/>
        <v>1817584</v>
      </c>
      <c r="E5">
        <f t="shared" si="3"/>
        <v>220.6</v>
      </c>
      <c r="F5">
        <f t="shared" si="4"/>
        <v>92.332999999999998</v>
      </c>
      <c r="G5">
        <v>630</v>
      </c>
      <c r="H5">
        <v>6</v>
      </c>
    </row>
    <row r="6" spans="1:8" x14ac:dyDescent="0.3">
      <c r="A6" t="s">
        <v>7</v>
      </c>
      <c r="B6">
        <f t="shared" si="0"/>
        <v>15632.6</v>
      </c>
      <c r="C6">
        <f t="shared" si="1"/>
        <v>756123722.29999995</v>
      </c>
      <c r="D6">
        <f t="shared" si="2"/>
        <v>2400392.7999999998</v>
      </c>
      <c r="E6">
        <f t="shared" si="3"/>
        <v>219.9</v>
      </c>
      <c r="F6">
        <f t="shared" si="4"/>
        <v>122.71599999999999</v>
      </c>
      <c r="G6">
        <v>630</v>
      </c>
      <c r="H6">
        <v>8</v>
      </c>
    </row>
    <row r="7" spans="1:8" x14ac:dyDescent="0.3">
      <c r="A7" t="s">
        <v>8</v>
      </c>
      <c r="B7">
        <f t="shared" ref="B7" si="10">ROUND(((PI()*(G7^2-(G7-2*H7)^2))/4),1)</f>
        <v>25446.9</v>
      </c>
      <c r="C7">
        <f t="shared" ref="C7" si="11">ROUND((PI()*(G7^4-(G7-2*H7)^4))/64,1)</f>
        <v>2087282013</v>
      </c>
      <c r="D7">
        <f t="shared" ref="D7" si="12">ROUND((PI()*(G7^3-(G7-2*H7)^4/G7))/32,1)</f>
        <v>5090931.7</v>
      </c>
      <c r="E7">
        <f t="shared" ref="E7" si="13">ROUND((C7/B7)^0.5,1)</f>
        <v>286.39999999999998</v>
      </c>
      <c r="F7">
        <f t="shared" ref="F7" si="14">ROUND(((PI()*(G7^2-(G7-2*H7)^2))/4*0.00785),3)</f>
        <v>199.75800000000001</v>
      </c>
      <c r="G7">
        <v>820</v>
      </c>
      <c r="H7">
        <v>10</v>
      </c>
    </row>
    <row r="8" spans="1:8" x14ac:dyDescent="0.3">
      <c r="A8" t="s">
        <v>528</v>
      </c>
      <c r="B8">
        <f t="shared" si="0"/>
        <v>30460.9</v>
      </c>
      <c r="C8">
        <f t="shared" si="1"/>
        <v>2486399984.3000002</v>
      </c>
      <c r="D8">
        <f t="shared" si="2"/>
        <v>6064390.2000000002</v>
      </c>
      <c r="E8">
        <f t="shared" si="3"/>
        <v>285.7</v>
      </c>
      <c r="F8">
        <f t="shared" si="4"/>
        <v>239.11799999999999</v>
      </c>
      <c r="G8">
        <v>820</v>
      </c>
      <c r="H8">
        <v>12</v>
      </c>
    </row>
    <row r="9" spans="1:8" x14ac:dyDescent="0.3">
      <c r="A9" t="s">
        <v>526</v>
      </c>
      <c r="B9">
        <f t="shared" si="0"/>
        <v>35449.699999999997</v>
      </c>
      <c r="C9">
        <f t="shared" si="1"/>
        <v>2879546240.3000002</v>
      </c>
      <c r="D9">
        <f t="shared" si="2"/>
        <v>7023283.5</v>
      </c>
      <c r="E9">
        <f t="shared" si="3"/>
        <v>285</v>
      </c>
      <c r="F9">
        <f t="shared" si="4"/>
        <v>278.27999999999997</v>
      </c>
      <c r="G9">
        <v>820</v>
      </c>
      <c r="H9">
        <v>14</v>
      </c>
    </row>
    <row r="10" spans="1:8" x14ac:dyDescent="0.3">
      <c r="A10" t="s">
        <v>9</v>
      </c>
      <c r="B10">
        <f t="shared" si="0"/>
        <v>31101.8</v>
      </c>
      <c r="C10">
        <f t="shared" si="1"/>
        <v>3810744034.8000002</v>
      </c>
      <c r="D10">
        <f t="shared" si="2"/>
        <v>7621488.0999999996</v>
      </c>
      <c r="E10">
        <f t="shared" si="3"/>
        <v>350</v>
      </c>
      <c r="F10">
        <f t="shared" si="4"/>
        <v>244.149</v>
      </c>
      <c r="G10">
        <v>1000</v>
      </c>
      <c r="H10">
        <v>10</v>
      </c>
    </row>
    <row r="11" spans="1:8" x14ac:dyDescent="0.3">
      <c r="A11" t="s">
        <v>10</v>
      </c>
      <c r="B11">
        <f t="shared" si="0"/>
        <v>37246.699999999997</v>
      </c>
      <c r="C11">
        <f t="shared" si="1"/>
        <v>4545441027.1000004</v>
      </c>
      <c r="D11">
        <f t="shared" si="2"/>
        <v>9090882.0999999996</v>
      </c>
      <c r="E11">
        <f t="shared" si="3"/>
        <v>349.3</v>
      </c>
      <c r="F11">
        <f t="shared" si="4"/>
        <v>292.387</v>
      </c>
      <c r="G11">
        <v>1000</v>
      </c>
      <c r="H11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AD0AE-92BC-4DEB-9C0E-BDDDC4C5B444}">
  <dimension ref="A1"/>
  <sheetViews>
    <sheetView workbookViewId="0">
      <selection activeCell="J42" sqref="J42"/>
    </sheetView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5547B-0FED-4EA2-AC65-7B3F9A33C11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材质</vt:lpstr>
      <vt:lpstr>I</vt:lpstr>
      <vt:lpstr>2I</vt:lpstr>
      <vt:lpstr>HM</vt:lpstr>
      <vt:lpstr>2HM</vt:lpstr>
      <vt:lpstr>HN</vt:lpstr>
      <vt:lpstr>2HN</vt:lpstr>
      <vt:lpstr>HW</vt:lpstr>
      <vt:lpstr>2HW</vt:lpstr>
      <vt:lpstr>C</vt:lpstr>
      <vt:lpstr>∠</vt:lpstr>
      <vt:lpstr>2C</vt:lpstr>
      <vt:lpstr>O</vt:lpstr>
      <vt:lpstr>围檩</vt:lpstr>
      <vt:lpstr>内支撑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adeli C</dc:creator>
  <cp:lastModifiedBy>策 郑</cp:lastModifiedBy>
  <dcterms:created xsi:type="dcterms:W3CDTF">2026-06-05T07:49:08Z</dcterms:created>
  <dcterms:modified xsi:type="dcterms:W3CDTF">2026-09-04T09:35:13Z</dcterms:modified>
</cp:coreProperties>
</file>